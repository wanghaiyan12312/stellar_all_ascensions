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8237\Desktop\More Ascsension Path and Dark Engine Trait for Cyber Species\"/>
    </mc:Choice>
  </mc:AlternateContent>
  <xr:revisionPtr revIDLastSave="0" documentId="8_{7FBE78AF-9492-4CF9-BBA0-D049E6CC900D}" xr6:coauthVersionLast="47" xr6:coauthVersionMax="47" xr10:uidLastSave="{00000000-0000-0000-0000-000000000000}"/>
  <bookViews>
    <workbookView xWindow="-110" yWindow="-110" windowWidth="19420" windowHeight="10300" activeTab="1" xr2:uid="{34EACAB7-A712-41F9-9E6C-F436C4DCCEF3}"/>
  </bookViews>
  <sheets>
    <sheet name="首页" sheetId="24" r:id="rId1"/>
    <sheet name="通用指标" sheetId="22" r:id="rId2"/>
    <sheet name="灵能盾" sheetId="4" r:id="rId3"/>
    <sheet name="泽珞护盾肌体" sheetId="13" r:id="rId4"/>
    <sheet name="古代脉冲甲" sheetId="10" r:id="rId5"/>
    <sheet name="脉冲甲壳" sheetId="16" r:id="rId6"/>
    <sheet name="龙鳞甲" sheetId="7" r:id="rId7"/>
    <sheet name="龙鳞甲壳" sheetId="19" r:id="rId8"/>
    <sheet name="科技消耗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" i="22" l="1"/>
  <c r="H77" i="22"/>
  <c r="J76" i="22"/>
  <c r="H76" i="22"/>
  <c r="J75" i="22"/>
  <c r="H75" i="22"/>
  <c r="J74" i="22"/>
  <c r="H74" i="22"/>
  <c r="J73" i="22"/>
  <c r="H73" i="22"/>
  <c r="J72" i="22"/>
  <c r="H72" i="22"/>
  <c r="J71" i="22"/>
  <c r="H71" i="22"/>
  <c r="J70" i="22"/>
  <c r="H70" i="22"/>
  <c r="J69" i="22"/>
  <c r="H69" i="22"/>
  <c r="J68" i="22"/>
  <c r="H68" i="22"/>
  <c r="J67" i="22"/>
  <c r="H67" i="22"/>
  <c r="J66" i="22"/>
  <c r="H66" i="22"/>
  <c r="J65" i="22"/>
  <c r="H65" i="22"/>
  <c r="J64" i="22"/>
  <c r="H64" i="22"/>
  <c r="J63" i="22"/>
  <c r="H63" i="22"/>
  <c r="J62" i="22"/>
  <c r="H62" i="22"/>
  <c r="J61" i="22"/>
  <c r="H61" i="22"/>
  <c r="J60" i="22"/>
  <c r="H60" i="22"/>
  <c r="J59" i="22"/>
  <c r="H59" i="22"/>
  <c r="J58" i="22"/>
  <c r="H58" i="22"/>
  <c r="J57" i="22"/>
  <c r="H57" i="22"/>
  <c r="J56" i="22"/>
  <c r="H56" i="22"/>
  <c r="J55" i="22"/>
  <c r="H55" i="22"/>
  <c r="J54" i="22"/>
  <c r="H54" i="22"/>
  <c r="J51" i="22"/>
  <c r="H51" i="22"/>
  <c r="J50" i="22"/>
  <c r="H50" i="22"/>
  <c r="J49" i="22"/>
  <c r="H49" i="22"/>
  <c r="J48" i="22"/>
  <c r="H48" i="22"/>
  <c r="J47" i="22"/>
  <c r="H47" i="22"/>
  <c r="J46" i="22"/>
  <c r="H46" i="22"/>
  <c r="J45" i="22"/>
  <c r="H45" i="22"/>
  <c r="J44" i="22"/>
  <c r="H44" i="22"/>
  <c r="J43" i="22"/>
  <c r="H43" i="22"/>
  <c r="J42" i="22"/>
  <c r="H42" i="22"/>
  <c r="J41" i="22"/>
  <c r="H41" i="22"/>
  <c r="J40" i="22"/>
  <c r="H40" i="22"/>
  <c r="J39" i="22"/>
  <c r="H39" i="22"/>
  <c r="J38" i="22"/>
  <c r="H38" i="22"/>
  <c r="J37" i="22"/>
  <c r="H37" i="22"/>
  <c r="J36" i="22"/>
  <c r="H36" i="22"/>
  <c r="J35" i="22"/>
  <c r="H35" i="22"/>
  <c r="J34" i="22"/>
  <c r="H34" i="22"/>
  <c r="J33" i="22"/>
  <c r="H33" i="22"/>
  <c r="J32" i="22"/>
  <c r="H32" i="22"/>
  <c r="J31" i="22"/>
  <c r="H31" i="22"/>
  <c r="J30" i="22"/>
  <c r="H30" i="22"/>
  <c r="J29" i="22"/>
  <c r="H29" i="22"/>
  <c r="J28" i="22"/>
  <c r="H28" i="22"/>
  <c r="J25" i="22"/>
  <c r="H25" i="22"/>
  <c r="J24" i="22"/>
  <c r="H24" i="22"/>
  <c r="J23" i="22"/>
  <c r="H23" i="22"/>
  <c r="J22" i="22"/>
  <c r="H22" i="22"/>
  <c r="J21" i="22"/>
  <c r="H21" i="22"/>
  <c r="J20" i="22"/>
  <c r="H20" i="22"/>
  <c r="J19" i="22"/>
  <c r="H19" i="22"/>
  <c r="J18" i="22"/>
  <c r="H18" i="22"/>
  <c r="J17" i="22"/>
  <c r="H17" i="22"/>
  <c r="J16" i="22"/>
  <c r="H16" i="22"/>
  <c r="J15" i="22"/>
  <c r="H15" i="22"/>
  <c r="J14" i="22"/>
  <c r="H14" i="22"/>
  <c r="J13" i="22"/>
  <c r="H13" i="22"/>
  <c r="J12" i="22"/>
  <c r="H12" i="22"/>
  <c r="J11" i="22"/>
  <c r="H11" i="22"/>
  <c r="J10" i="22"/>
  <c r="H10" i="22"/>
  <c r="J9" i="22"/>
  <c r="H9" i="22"/>
  <c r="J8" i="22"/>
  <c r="H8" i="22"/>
  <c r="J7" i="22"/>
  <c r="H7" i="22"/>
  <c r="J6" i="22"/>
  <c r="H6" i="22"/>
  <c r="J5" i="22"/>
  <c r="H5" i="22"/>
  <c r="J4" i="22"/>
  <c r="H4" i="22"/>
  <c r="J3" i="22"/>
  <c r="H3" i="22"/>
  <c r="J2" i="22"/>
  <c r="H2" i="22"/>
  <c r="N2" i="10"/>
  <c r="O2" i="10"/>
  <c r="N3" i="10"/>
  <c r="O3" i="10"/>
  <c r="N4" i="10"/>
  <c r="O4" i="10"/>
  <c r="N5" i="10"/>
  <c r="O5" i="10"/>
  <c r="N6" i="10"/>
  <c r="O6" i="10"/>
  <c r="N7" i="10"/>
  <c r="O7" i="10"/>
  <c r="N8" i="10"/>
  <c r="O8" i="10"/>
  <c r="N9" i="10"/>
  <c r="O9" i="10"/>
  <c r="N10" i="10"/>
  <c r="O10" i="10"/>
  <c r="N11" i="10"/>
  <c r="O11" i="10"/>
  <c r="N12" i="10"/>
  <c r="O12" i="10"/>
  <c r="N13" i="10"/>
  <c r="O13" i="10"/>
  <c r="N14" i="10"/>
  <c r="O14" i="10"/>
  <c r="N15" i="10"/>
  <c r="O15" i="10"/>
  <c r="N16" i="10"/>
  <c r="O16" i="10"/>
  <c r="N17" i="10"/>
  <c r="O17" i="10"/>
  <c r="N18" i="10"/>
  <c r="O18" i="10"/>
  <c r="N19" i="10"/>
  <c r="O19" i="10"/>
  <c r="N20" i="10"/>
  <c r="O20" i="10"/>
  <c r="N21" i="10"/>
  <c r="O21" i="10"/>
  <c r="N22" i="10"/>
  <c r="O22" i="10"/>
  <c r="N23" i="10"/>
  <c r="O23" i="10"/>
  <c r="N24" i="10"/>
  <c r="O24" i="10"/>
  <c r="N25" i="10"/>
  <c r="O25" i="10"/>
  <c r="N28" i="10"/>
  <c r="O28" i="10"/>
  <c r="N29" i="10"/>
  <c r="O29" i="10"/>
  <c r="N30" i="10"/>
  <c r="O30" i="10"/>
  <c r="N31" i="10"/>
  <c r="O31" i="10"/>
  <c r="N32" i="10"/>
  <c r="O32" i="10"/>
  <c r="N33" i="10"/>
  <c r="O33" i="10"/>
  <c r="N34" i="10"/>
  <c r="O34" i="10"/>
  <c r="N35" i="10"/>
  <c r="O35" i="10"/>
  <c r="N36" i="10"/>
  <c r="O36" i="10"/>
  <c r="N37" i="10"/>
  <c r="O37" i="10"/>
  <c r="N38" i="10"/>
  <c r="O38" i="10"/>
  <c r="N39" i="10"/>
  <c r="O39" i="10"/>
  <c r="N40" i="10"/>
  <c r="O40" i="10"/>
  <c r="N41" i="10"/>
  <c r="O41" i="10"/>
  <c r="N42" i="10"/>
  <c r="O42" i="10"/>
  <c r="N43" i="10"/>
  <c r="O43" i="10"/>
  <c r="N44" i="10"/>
  <c r="O44" i="10"/>
  <c r="N45" i="10"/>
  <c r="O45" i="10"/>
  <c r="N46" i="10"/>
  <c r="O46" i="10"/>
  <c r="N47" i="10"/>
  <c r="O47" i="10"/>
  <c r="N48" i="10"/>
  <c r="O48" i="10"/>
  <c r="N49" i="10"/>
  <c r="O49" i="10"/>
  <c r="N50" i="10"/>
  <c r="O50" i="10"/>
  <c r="N51" i="10"/>
  <c r="O51" i="10"/>
  <c r="N54" i="10"/>
  <c r="O54" i="10"/>
  <c r="N55" i="10"/>
  <c r="O55" i="10"/>
  <c r="N56" i="10"/>
  <c r="O56" i="10"/>
  <c r="N57" i="10"/>
  <c r="O57" i="10"/>
  <c r="N58" i="10"/>
  <c r="O58" i="10"/>
  <c r="N59" i="10"/>
  <c r="O59" i="10"/>
  <c r="N60" i="10"/>
  <c r="O60" i="10"/>
  <c r="N61" i="10"/>
  <c r="O61" i="10"/>
  <c r="N62" i="10"/>
  <c r="O62" i="10"/>
  <c r="N63" i="10"/>
  <c r="O63" i="10"/>
  <c r="N64" i="10"/>
  <c r="O64" i="10"/>
  <c r="N65" i="10"/>
  <c r="O65" i="10"/>
  <c r="N66" i="10"/>
  <c r="O66" i="10"/>
  <c r="N67" i="10"/>
  <c r="O67" i="10"/>
  <c r="N68" i="10"/>
  <c r="O68" i="10"/>
  <c r="N69" i="10"/>
  <c r="O69" i="10"/>
  <c r="N70" i="10"/>
  <c r="O70" i="10"/>
  <c r="N71" i="10"/>
  <c r="O71" i="10"/>
  <c r="N72" i="10"/>
  <c r="O72" i="10"/>
  <c r="N73" i="10"/>
  <c r="O73" i="10"/>
  <c r="N74" i="10"/>
  <c r="O74" i="10"/>
  <c r="N75" i="10"/>
  <c r="O75" i="10"/>
  <c r="N76" i="10"/>
  <c r="O76" i="10"/>
  <c r="N77" i="10"/>
  <c r="O77" i="10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54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28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54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28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" i="4"/>
  <c r="E55" i="13"/>
  <c r="G55" i="13" s="1"/>
  <c r="E56" i="13"/>
  <c r="G56" i="13" s="1"/>
  <c r="E57" i="13"/>
  <c r="G57" i="13" s="1"/>
  <c r="E58" i="13"/>
  <c r="G58" i="13" s="1"/>
  <c r="E59" i="13"/>
  <c r="G59" i="13" s="1"/>
  <c r="E60" i="13"/>
  <c r="G60" i="13" s="1"/>
  <c r="E61" i="13"/>
  <c r="G61" i="13" s="1"/>
  <c r="E62" i="13"/>
  <c r="G62" i="13" s="1"/>
  <c r="E63" i="13"/>
  <c r="G63" i="13" s="1"/>
  <c r="E64" i="13"/>
  <c r="G64" i="13" s="1"/>
  <c r="E65" i="13"/>
  <c r="G65" i="13" s="1"/>
  <c r="E66" i="13"/>
  <c r="G66" i="13" s="1"/>
  <c r="E67" i="13"/>
  <c r="G67" i="13" s="1"/>
  <c r="E68" i="13"/>
  <c r="G68" i="13" s="1"/>
  <c r="E69" i="13"/>
  <c r="G69" i="13" s="1"/>
  <c r="E70" i="13"/>
  <c r="G70" i="13" s="1"/>
  <c r="E71" i="13"/>
  <c r="G71" i="13" s="1"/>
  <c r="E72" i="13"/>
  <c r="G72" i="13" s="1"/>
  <c r="E73" i="13"/>
  <c r="G73" i="13" s="1"/>
  <c r="E74" i="13"/>
  <c r="G74" i="13" s="1"/>
  <c r="E75" i="13"/>
  <c r="G75" i="13" s="1"/>
  <c r="E76" i="13"/>
  <c r="G76" i="13" s="1"/>
  <c r="E77" i="13"/>
  <c r="G77" i="13" s="1"/>
  <c r="E54" i="13"/>
  <c r="G54" i="13" s="1"/>
  <c r="E29" i="13"/>
  <c r="G29" i="13" s="1"/>
  <c r="E30" i="13"/>
  <c r="G30" i="13" s="1"/>
  <c r="E31" i="13"/>
  <c r="G31" i="13" s="1"/>
  <c r="E32" i="13"/>
  <c r="G32" i="13" s="1"/>
  <c r="E33" i="13"/>
  <c r="G33" i="13" s="1"/>
  <c r="E34" i="13"/>
  <c r="G34" i="13" s="1"/>
  <c r="E35" i="13"/>
  <c r="G35" i="13" s="1"/>
  <c r="E36" i="13"/>
  <c r="G36" i="13" s="1"/>
  <c r="E37" i="13"/>
  <c r="G37" i="13" s="1"/>
  <c r="E38" i="13"/>
  <c r="G38" i="13" s="1"/>
  <c r="E39" i="13"/>
  <c r="G39" i="13" s="1"/>
  <c r="E40" i="13"/>
  <c r="G40" i="13" s="1"/>
  <c r="E41" i="13"/>
  <c r="G41" i="13" s="1"/>
  <c r="E42" i="13"/>
  <c r="G42" i="13" s="1"/>
  <c r="E43" i="13"/>
  <c r="G43" i="13" s="1"/>
  <c r="E44" i="13"/>
  <c r="G44" i="13" s="1"/>
  <c r="E45" i="13"/>
  <c r="G45" i="13" s="1"/>
  <c r="E46" i="13"/>
  <c r="G46" i="13" s="1"/>
  <c r="E47" i="13"/>
  <c r="G47" i="13" s="1"/>
  <c r="E48" i="13"/>
  <c r="G48" i="13" s="1"/>
  <c r="E49" i="13"/>
  <c r="G49" i="13" s="1"/>
  <c r="E50" i="13"/>
  <c r="G50" i="13" s="1"/>
  <c r="E51" i="13"/>
  <c r="G51" i="13" s="1"/>
  <c r="E28" i="13"/>
  <c r="G28" i="13" s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" i="13"/>
  <c r="G2" i="13" s="1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" i="9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28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54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80" i="22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54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28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54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28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P78" i="16"/>
  <c r="P77" i="16"/>
  <c r="P76" i="16"/>
  <c r="P75" i="16"/>
  <c r="P74" i="16"/>
  <c r="P73" i="16"/>
  <c r="P72" i="16"/>
  <c r="P71" i="16"/>
  <c r="P70" i="16"/>
  <c r="P69" i="16"/>
  <c r="P68" i="16"/>
  <c r="P67" i="16"/>
  <c r="P66" i="16"/>
  <c r="P65" i="16"/>
  <c r="P64" i="16"/>
  <c r="P63" i="16"/>
  <c r="P62" i="16"/>
  <c r="P61" i="16"/>
  <c r="P60" i="16"/>
  <c r="P59" i="16"/>
  <c r="P58" i="16"/>
  <c r="P57" i="16"/>
  <c r="P56" i="16"/>
  <c r="P55" i="16"/>
  <c r="N60" i="16"/>
  <c r="N76" i="16"/>
  <c r="N77" i="16"/>
  <c r="N78" i="16"/>
  <c r="N55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28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28" i="16"/>
  <c r="P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" i="16"/>
  <c r="L56" i="16"/>
  <c r="N56" i="16" s="1"/>
  <c r="L57" i="16"/>
  <c r="N57" i="16" s="1"/>
  <c r="L58" i="16"/>
  <c r="N58" i="16" s="1"/>
  <c r="L59" i="16"/>
  <c r="N59" i="16" s="1"/>
  <c r="L60" i="16"/>
  <c r="L61" i="16"/>
  <c r="N61" i="16" s="1"/>
  <c r="L62" i="16"/>
  <c r="N62" i="16" s="1"/>
  <c r="L63" i="16"/>
  <c r="N63" i="16" s="1"/>
  <c r="L64" i="16"/>
  <c r="N64" i="16" s="1"/>
  <c r="L65" i="16"/>
  <c r="N65" i="16" s="1"/>
  <c r="L66" i="16"/>
  <c r="N66" i="16" s="1"/>
  <c r="L67" i="16"/>
  <c r="N67" i="16" s="1"/>
  <c r="L68" i="16"/>
  <c r="N68" i="16" s="1"/>
  <c r="L69" i="16"/>
  <c r="N69" i="16" s="1"/>
  <c r="L70" i="16"/>
  <c r="N70" i="16" s="1"/>
  <c r="L71" i="16"/>
  <c r="N71" i="16" s="1"/>
  <c r="L72" i="16"/>
  <c r="N72" i="16" s="1"/>
  <c r="L73" i="16"/>
  <c r="N73" i="16" s="1"/>
  <c r="L74" i="16"/>
  <c r="N74" i="16" s="1"/>
  <c r="L75" i="16"/>
  <c r="N75" i="16" s="1"/>
  <c r="L76" i="16"/>
  <c r="L77" i="16"/>
  <c r="L78" i="16"/>
  <c r="L55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28" i="16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55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28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55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28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" i="16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54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2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" i="7"/>
  <c r="E54" i="19"/>
  <c r="G54" i="19" s="1"/>
  <c r="I54" i="19"/>
  <c r="K54" i="19"/>
  <c r="M54" i="19"/>
  <c r="E55" i="19"/>
  <c r="G55" i="19" s="1"/>
  <c r="I55" i="19"/>
  <c r="K55" i="19"/>
  <c r="M55" i="19"/>
  <c r="E56" i="19"/>
  <c r="G56" i="19"/>
  <c r="I56" i="19"/>
  <c r="K56" i="19"/>
  <c r="M56" i="19"/>
  <c r="E57" i="19"/>
  <c r="G57" i="19" s="1"/>
  <c r="I57" i="19"/>
  <c r="K57" i="19"/>
  <c r="M57" i="19"/>
  <c r="E58" i="19"/>
  <c r="G58" i="19" s="1"/>
  <c r="I58" i="19"/>
  <c r="K58" i="19"/>
  <c r="M58" i="19"/>
  <c r="E59" i="19"/>
  <c r="G59" i="19" s="1"/>
  <c r="I59" i="19"/>
  <c r="K59" i="19"/>
  <c r="M59" i="19"/>
  <c r="E60" i="19"/>
  <c r="G60" i="19" s="1"/>
  <c r="I60" i="19"/>
  <c r="K60" i="19"/>
  <c r="M60" i="19"/>
  <c r="E61" i="19"/>
  <c r="G61" i="19" s="1"/>
  <c r="I61" i="19"/>
  <c r="K61" i="19"/>
  <c r="M61" i="19"/>
  <c r="E62" i="19"/>
  <c r="G62" i="19" s="1"/>
  <c r="I62" i="19"/>
  <c r="K62" i="19"/>
  <c r="M62" i="19"/>
  <c r="E63" i="19"/>
  <c r="G63" i="19" s="1"/>
  <c r="I63" i="19"/>
  <c r="K63" i="19"/>
  <c r="M63" i="19"/>
  <c r="E64" i="19"/>
  <c r="G64" i="19" s="1"/>
  <c r="I64" i="19"/>
  <c r="K64" i="19"/>
  <c r="M64" i="19"/>
  <c r="E65" i="19"/>
  <c r="G65" i="19" s="1"/>
  <c r="I65" i="19"/>
  <c r="K65" i="19"/>
  <c r="M65" i="19"/>
  <c r="E66" i="19"/>
  <c r="G66" i="19"/>
  <c r="I66" i="19"/>
  <c r="K66" i="19"/>
  <c r="M66" i="19"/>
  <c r="E67" i="19"/>
  <c r="G67" i="19"/>
  <c r="I67" i="19"/>
  <c r="K67" i="19"/>
  <c r="M67" i="19"/>
  <c r="E68" i="19"/>
  <c r="G68" i="19"/>
  <c r="I68" i="19"/>
  <c r="K68" i="19"/>
  <c r="M68" i="19"/>
  <c r="E69" i="19"/>
  <c r="G69" i="19" s="1"/>
  <c r="I69" i="19"/>
  <c r="K69" i="19"/>
  <c r="M69" i="19"/>
  <c r="E70" i="19"/>
  <c r="G70" i="19" s="1"/>
  <c r="I70" i="19"/>
  <c r="K70" i="19"/>
  <c r="M70" i="19"/>
  <c r="E71" i="19"/>
  <c r="G71" i="19"/>
  <c r="I71" i="19"/>
  <c r="K71" i="19"/>
  <c r="M71" i="19"/>
  <c r="E72" i="19"/>
  <c r="G72" i="19" s="1"/>
  <c r="I72" i="19"/>
  <c r="K72" i="19"/>
  <c r="M72" i="19"/>
  <c r="E73" i="19"/>
  <c r="G73" i="19" s="1"/>
  <c r="I73" i="19"/>
  <c r="K73" i="19"/>
  <c r="M73" i="19"/>
  <c r="E74" i="19"/>
  <c r="G74" i="19" s="1"/>
  <c r="I74" i="19"/>
  <c r="K74" i="19"/>
  <c r="M74" i="19"/>
  <c r="E75" i="19"/>
  <c r="G75" i="19" s="1"/>
  <c r="I75" i="19"/>
  <c r="K75" i="19"/>
  <c r="M75" i="19"/>
  <c r="E76" i="19"/>
  <c r="G76" i="19" s="1"/>
  <c r="I76" i="19"/>
  <c r="K76" i="19"/>
  <c r="M76" i="19"/>
  <c r="E77" i="19"/>
  <c r="G77" i="19" s="1"/>
  <c r="I77" i="19"/>
  <c r="K77" i="19"/>
  <c r="M77" i="19"/>
  <c r="E3" i="19"/>
  <c r="G3" i="19" s="1"/>
  <c r="E4" i="19"/>
  <c r="G4" i="19" s="1"/>
  <c r="E5" i="19"/>
  <c r="G5" i="19" s="1"/>
  <c r="E6" i="19"/>
  <c r="G6" i="19" s="1"/>
  <c r="E7" i="19"/>
  <c r="G7" i="19" s="1"/>
  <c r="E8" i="19"/>
  <c r="G8" i="19" s="1"/>
  <c r="E9" i="19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18" i="19"/>
  <c r="G18" i="19" s="1"/>
  <c r="E19" i="19"/>
  <c r="G19" i="19" s="1"/>
  <c r="E20" i="19"/>
  <c r="G20" i="19" s="1"/>
  <c r="E21" i="19"/>
  <c r="G21" i="19" s="1"/>
  <c r="E22" i="19"/>
  <c r="G22" i="19" s="1"/>
  <c r="E23" i="19"/>
  <c r="G23" i="19" s="1"/>
  <c r="E24" i="19"/>
  <c r="G24" i="19" s="1"/>
  <c r="E25" i="19"/>
  <c r="G25" i="19" s="1"/>
  <c r="E2" i="19"/>
  <c r="G2" i="19" s="1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" i="19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" i="19"/>
  <c r="E29" i="19"/>
  <c r="G29" i="19" s="1"/>
  <c r="E30" i="19"/>
  <c r="G30" i="19" s="1"/>
  <c r="E31" i="19"/>
  <c r="G31" i="19" s="1"/>
  <c r="E32" i="19"/>
  <c r="G32" i="19" s="1"/>
  <c r="E33" i="19"/>
  <c r="G33" i="19" s="1"/>
  <c r="E34" i="19"/>
  <c r="G34" i="19" s="1"/>
  <c r="E35" i="19"/>
  <c r="G35" i="19" s="1"/>
  <c r="E36" i="19"/>
  <c r="G36" i="19" s="1"/>
  <c r="E37" i="19"/>
  <c r="G37" i="19" s="1"/>
  <c r="E38" i="19"/>
  <c r="G38" i="19" s="1"/>
  <c r="E39" i="19"/>
  <c r="G39" i="19" s="1"/>
  <c r="E40" i="19"/>
  <c r="G40" i="19" s="1"/>
  <c r="E41" i="19"/>
  <c r="G41" i="19" s="1"/>
  <c r="E42" i="19"/>
  <c r="G42" i="19" s="1"/>
  <c r="E43" i="19"/>
  <c r="G43" i="19" s="1"/>
  <c r="E44" i="19"/>
  <c r="G44" i="19" s="1"/>
  <c r="E45" i="19"/>
  <c r="G45" i="19" s="1"/>
  <c r="E46" i="19"/>
  <c r="G46" i="19" s="1"/>
  <c r="E47" i="19"/>
  <c r="G47" i="19" s="1"/>
  <c r="E48" i="19"/>
  <c r="G48" i="19" s="1"/>
  <c r="E49" i="19"/>
  <c r="G49" i="19" s="1"/>
  <c r="E50" i="19"/>
  <c r="G50" i="19" s="1"/>
  <c r="E51" i="19"/>
  <c r="G51" i="19" s="1"/>
  <c r="E28" i="19"/>
  <c r="G28" i="19" s="1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28" i="19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" i="7"/>
  <c r="J128" i="10"/>
  <c r="J127" i="10"/>
  <c r="J126" i="10"/>
  <c r="G13" i="24"/>
  <c r="J125" i="10" s="1"/>
  <c r="G14" i="24"/>
  <c r="J124" i="10" s="1"/>
  <c r="G12" i="24"/>
  <c r="I18" i="24"/>
  <c r="D118" i="16" s="1"/>
  <c r="I19" i="24"/>
  <c r="D117" i="16" s="1"/>
  <c r="I17" i="24"/>
  <c r="D32" i="24"/>
  <c r="D33" i="24"/>
  <c r="D31" i="24"/>
  <c r="D121" i="16"/>
  <c r="D120" i="16"/>
  <c r="D119" i="16"/>
  <c r="H18" i="24"/>
  <c r="H19" i="24"/>
  <c r="H17" i="24"/>
  <c r="D19" i="24"/>
  <c r="D18" i="24"/>
  <c r="D17" i="24"/>
  <c r="D12" i="24"/>
  <c r="D13" i="24"/>
  <c r="D14" i="24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D2" i="24"/>
  <c r="D3" i="24"/>
  <c r="D4" i="24"/>
  <c r="D5" i="24"/>
  <c r="D6" i="24"/>
  <c r="D7" i="24"/>
  <c r="H56" i="16" l="1"/>
  <c r="J56" i="16" s="1"/>
  <c r="H29" i="10"/>
  <c r="J29" i="10" s="1"/>
  <c r="H30" i="10"/>
  <c r="J30" i="10" s="1"/>
  <c r="H57" i="16"/>
  <c r="J57" i="16" s="1"/>
  <c r="H58" i="16"/>
  <c r="J58" i="16" s="1"/>
  <c r="H75" i="10"/>
  <c r="J75" i="10" s="1"/>
  <c r="H76" i="10"/>
  <c r="J76" i="10" s="1"/>
  <c r="H74" i="10"/>
  <c r="J74" i="10" s="1"/>
  <c r="H73" i="10"/>
  <c r="J73" i="10" s="1"/>
  <c r="H68" i="10"/>
  <c r="J68" i="10" s="1"/>
  <c r="H69" i="10"/>
  <c r="J69" i="10" s="1"/>
  <c r="H70" i="10"/>
  <c r="J70" i="10" s="1"/>
  <c r="H71" i="10"/>
  <c r="J71" i="10" s="1"/>
  <c r="H72" i="10"/>
  <c r="J72" i="10" s="1"/>
  <c r="H55" i="10"/>
  <c r="J55" i="10" s="1"/>
  <c r="H56" i="10"/>
  <c r="J56" i="10" s="1"/>
  <c r="H57" i="10"/>
  <c r="J57" i="10" s="1"/>
  <c r="H58" i="10"/>
  <c r="J58" i="10" s="1"/>
  <c r="H59" i="10"/>
  <c r="J59" i="10" s="1"/>
  <c r="H60" i="10"/>
  <c r="J60" i="10" s="1"/>
  <c r="H61" i="10"/>
  <c r="J61" i="10" s="1"/>
  <c r="H62" i="10"/>
  <c r="J62" i="10" s="1"/>
  <c r="H63" i="10"/>
  <c r="J63" i="10" s="1"/>
  <c r="H64" i="10"/>
  <c r="J64" i="10" s="1"/>
  <c r="H59" i="16"/>
  <c r="J59" i="16" s="1"/>
  <c r="H64" i="16"/>
  <c r="J64" i="16" s="1"/>
  <c r="H12" i="16"/>
  <c r="J12" i="16" s="1"/>
  <c r="H35" i="16"/>
  <c r="J35" i="16" s="1"/>
  <c r="H36" i="16"/>
  <c r="J36" i="16" s="1"/>
  <c r="H60" i="16"/>
  <c r="J60" i="16" s="1"/>
  <c r="H61" i="16"/>
  <c r="J61" i="16" s="1"/>
  <c r="H62" i="16"/>
  <c r="J62" i="16" s="1"/>
  <c r="H63" i="16"/>
  <c r="J63" i="16" s="1"/>
  <c r="H37" i="16"/>
  <c r="J37" i="16" s="1"/>
  <c r="H38" i="16"/>
  <c r="J38" i="16" s="1"/>
  <c r="H39" i="16"/>
  <c r="J39" i="16" s="1"/>
  <c r="H40" i="16"/>
  <c r="J40" i="16" s="1"/>
  <c r="H41" i="16"/>
  <c r="J41" i="16" s="1"/>
  <c r="H65" i="16"/>
  <c r="J65" i="16" s="1"/>
  <c r="H66" i="16"/>
  <c r="J66" i="16" s="1"/>
  <c r="H67" i="16"/>
  <c r="J67" i="16" s="1"/>
  <c r="H68" i="16"/>
  <c r="J68" i="16" s="1"/>
  <c r="H69" i="16"/>
  <c r="J69" i="16" s="1"/>
  <c r="H71" i="16"/>
  <c r="J71" i="16" s="1"/>
  <c r="H72" i="16"/>
  <c r="J72" i="16" s="1"/>
  <c r="H73" i="16"/>
  <c r="J73" i="16" s="1"/>
  <c r="H76" i="16"/>
  <c r="J76" i="16" s="1"/>
  <c r="H77" i="16"/>
  <c r="J77" i="16" s="1"/>
  <c r="H78" i="16"/>
  <c r="J78" i="16" s="1"/>
  <c r="H55" i="16"/>
  <c r="J55" i="16" s="1"/>
  <c r="H70" i="16"/>
  <c r="J70" i="16" s="1"/>
  <c r="H74" i="16"/>
  <c r="J74" i="16" s="1"/>
  <c r="H75" i="16"/>
  <c r="J75" i="16" s="1"/>
  <c r="H29" i="16"/>
  <c r="J29" i="16" s="1"/>
  <c r="H13" i="16"/>
  <c r="J13" i="16" s="1"/>
  <c r="H14" i="16"/>
  <c r="J14" i="16" s="1"/>
  <c r="H15" i="16"/>
  <c r="J15" i="16" s="1"/>
  <c r="H16" i="16"/>
  <c r="J16" i="16" s="1"/>
  <c r="H17" i="16"/>
  <c r="J17" i="16" s="1"/>
  <c r="H18" i="16"/>
  <c r="J18" i="16" s="1"/>
  <c r="H19" i="16"/>
  <c r="J19" i="16" s="1"/>
  <c r="H20" i="16"/>
  <c r="J20" i="16" s="1"/>
  <c r="H21" i="16"/>
  <c r="J21" i="16" s="1"/>
  <c r="H22" i="16"/>
  <c r="J22" i="16" s="1"/>
  <c r="H30" i="16"/>
  <c r="J30" i="16" s="1"/>
  <c r="H32" i="16"/>
  <c r="J32" i="16" s="1"/>
  <c r="H31" i="16"/>
  <c r="J31" i="16" s="1"/>
  <c r="H47" i="16"/>
  <c r="J47" i="16" s="1"/>
  <c r="H48" i="16"/>
  <c r="J48" i="16" s="1"/>
  <c r="H51" i="16"/>
  <c r="J51" i="16" s="1"/>
  <c r="H33" i="16"/>
  <c r="J33" i="16" s="1"/>
  <c r="H46" i="16"/>
  <c r="J46" i="16" s="1"/>
  <c r="H49" i="16"/>
  <c r="J49" i="16" s="1"/>
  <c r="H44" i="16"/>
  <c r="J44" i="16" s="1"/>
  <c r="H45" i="16"/>
  <c r="J45" i="16" s="1"/>
  <c r="H28" i="16"/>
  <c r="J28" i="16" s="1"/>
  <c r="H34" i="16"/>
  <c r="J34" i="16" s="1"/>
  <c r="H42" i="16"/>
  <c r="J42" i="16" s="1"/>
  <c r="H43" i="16"/>
  <c r="J43" i="16" s="1"/>
  <c r="H50" i="16"/>
  <c r="J50" i="16" s="1"/>
  <c r="H3" i="16"/>
  <c r="J3" i="16" s="1"/>
  <c r="H4" i="16"/>
  <c r="J4" i="16" s="1"/>
  <c r="H5" i="16"/>
  <c r="J5" i="16" s="1"/>
  <c r="H6" i="16"/>
  <c r="J6" i="16" s="1"/>
  <c r="H7" i="16"/>
  <c r="J7" i="16" s="1"/>
  <c r="H8" i="16"/>
  <c r="J8" i="16" s="1"/>
  <c r="H9" i="16"/>
  <c r="J9" i="16" s="1"/>
  <c r="H10" i="16"/>
  <c r="J10" i="16" s="1"/>
  <c r="H11" i="16"/>
  <c r="J11" i="16" s="1"/>
  <c r="H23" i="16"/>
  <c r="J23" i="16" s="1"/>
  <c r="H25" i="16"/>
  <c r="J25" i="16" s="1"/>
  <c r="H2" i="16"/>
  <c r="J2" i="16" s="1"/>
  <c r="H24" i="16"/>
  <c r="J24" i="16" s="1"/>
  <c r="H65" i="10"/>
  <c r="J65" i="10" s="1"/>
  <c r="H66" i="10"/>
  <c r="J66" i="10" s="1"/>
  <c r="H67" i="10"/>
  <c r="J67" i="10" s="1"/>
  <c r="H31" i="10"/>
  <c r="J31" i="10" s="1"/>
  <c r="H32" i="10"/>
  <c r="J32" i="10" s="1"/>
  <c r="H33" i="10"/>
  <c r="J33" i="10" s="1"/>
  <c r="H34" i="10"/>
  <c r="J34" i="10" s="1"/>
  <c r="H35" i="10"/>
  <c r="J35" i="10" s="1"/>
  <c r="H36" i="10"/>
  <c r="J36" i="10" s="1"/>
  <c r="H46" i="10"/>
  <c r="J46" i="10" s="1"/>
  <c r="H47" i="10"/>
  <c r="J47" i="10" s="1"/>
  <c r="H48" i="10"/>
  <c r="J48" i="10" s="1"/>
  <c r="H50" i="10"/>
  <c r="J50" i="10" s="1"/>
  <c r="H51" i="10"/>
  <c r="J51" i="10" s="1"/>
  <c r="H54" i="10"/>
  <c r="J54" i="10" s="1"/>
  <c r="H77" i="10"/>
  <c r="J77" i="10" s="1"/>
  <c r="H37" i="10"/>
  <c r="J37" i="10" s="1"/>
  <c r="H38" i="10"/>
  <c r="J38" i="10" s="1"/>
  <c r="H39" i="10"/>
  <c r="J39" i="10" s="1"/>
  <c r="H40" i="10"/>
  <c r="J40" i="10" s="1"/>
  <c r="H41" i="10"/>
  <c r="J41" i="10" s="1"/>
  <c r="H43" i="10"/>
  <c r="J43" i="10" s="1"/>
  <c r="H44" i="10"/>
  <c r="J44" i="10" s="1"/>
  <c r="H45" i="10"/>
  <c r="J45" i="10" s="1"/>
  <c r="H9" i="10"/>
  <c r="J9" i="10" s="1"/>
  <c r="H49" i="10"/>
  <c r="J49" i="10" s="1"/>
  <c r="H28" i="10"/>
  <c r="J28" i="10" s="1"/>
  <c r="H42" i="10"/>
  <c r="J42" i="10" s="1"/>
  <c r="H3" i="10"/>
  <c r="J3" i="10" s="1"/>
  <c r="H4" i="10"/>
  <c r="J4" i="10" s="1"/>
  <c r="H5" i="10"/>
  <c r="J5" i="10" s="1"/>
  <c r="H6" i="10"/>
  <c r="J6" i="10" s="1"/>
  <c r="H7" i="10"/>
  <c r="J7" i="10" s="1"/>
  <c r="H8" i="10"/>
  <c r="J8" i="10" s="1"/>
  <c r="H10" i="10"/>
  <c r="J10" i="10" s="1"/>
  <c r="H11" i="10"/>
  <c r="J11" i="10" s="1"/>
  <c r="H12" i="10"/>
  <c r="J12" i="10" s="1"/>
  <c r="H13" i="10"/>
  <c r="J13" i="10" s="1"/>
  <c r="H14" i="10"/>
  <c r="J14" i="10" s="1"/>
  <c r="H15" i="10"/>
  <c r="J15" i="10" s="1"/>
  <c r="H16" i="10"/>
  <c r="J16" i="10" s="1"/>
  <c r="H17" i="10"/>
  <c r="J17" i="10" s="1"/>
  <c r="H18" i="10"/>
  <c r="J18" i="10" s="1"/>
  <c r="H19" i="10"/>
  <c r="J19" i="10" s="1"/>
  <c r="H20" i="10"/>
  <c r="J20" i="10" s="1"/>
  <c r="H21" i="10"/>
  <c r="J21" i="10" s="1"/>
  <c r="H22" i="10"/>
  <c r="J22" i="10" s="1"/>
  <c r="H23" i="10"/>
  <c r="J23" i="10" s="1"/>
  <c r="H24" i="10"/>
  <c r="J24" i="10" s="1"/>
  <c r="H25" i="10"/>
  <c r="J25" i="10" s="1"/>
  <c r="H2" i="10"/>
  <c r="J2" i="10" s="1"/>
</calcChain>
</file>

<file path=xl/sharedStrings.xml><?xml version="1.0" encoding="utf-8"?>
<sst xmlns="http://schemas.openxmlformats.org/spreadsheetml/2006/main" count="3591" uniqueCount="2640">
  <si>
    <t>游戏key</t>
    <phoneticPr fontId="1" type="noConversion"/>
  </si>
  <si>
    <t>护盾承受值</t>
    <phoneticPr fontId="1" type="noConversion"/>
  </si>
  <si>
    <t>护盾合金花费</t>
    <phoneticPr fontId="1" type="noConversion"/>
  </si>
  <si>
    <t>护盾日回复值</t>
    <phoneticPr fontId="1" type="noConversion"/>
  </si>
  <si>
    <t>SMALL_PSI_SHIELD_2</t>
    <phoneticPr fontId="1" type="noConversion"/>
  </si>
  <si>
    <t>SMALL_PSI_SHIELD_3</t>
  </si>
  <si>
    <t>SMALL_PSI_SHIELD_4</t>
  </si>
  <si>
    <t>SMALL_PSI_SHIELD_5</t>
  </si>
  <si>
    <t>SMALL_PSI_SHIELD_6</t>
  </si>
  <si>
    <t>SMALL_PSI_SHIELD_7</t>
  </si>
  <si>
    <t>SMALL_PSI_SHIELD_8</t>
  </si>
  <si>
    <t>SMALL_PSI_SHIELD_9</t>
  </si>
  <si>
    <t>SMALL_PSI_SHIELD_10</t>
  </si>
  <si>
    <t>SMALL_PSI_SHIELD_11</t>
  </si>
  <si>
    <t>SMALL_PSI_SHIELD_12</t>
  </si>
  <si>
    <t>SMALL_PSI_SHIELD_13</t>
  </si>
  <si>
    <t>SMALL_PSI_SHIELD_14</t>
  </si>
  <si>
    <t>SMALL_PSI_SHIELD_15</t>
  </si>
  <si>
    <t>SMALL_PSI_SHIELD_16</t>
  </si>
  <si>
    <t>SMALL_PSI_SHIELD_17</t>
  </si>
  <si>
    <t>SMALL_PSI_SHIELD_18</t>
  </si>
  <si>
    <t>SMALL_PSI_SHIELD_19</t>
  </si>
  <si>
    <t>SMALL_PSI_SHIELD_20</t>
  </si>
  <si>
    <t>SMALL_PSI_SHIELD_21</t>
  </si>
  <si>
    <t>SMALL_PSI_SHIELD_22</t>
  </si>
  <si>
    <t>SMALL_PSI_SHIELD_23</t>
  </si>
  <si>
    <t>SMALL_PSI_SHIELD_24</t>
  </si>
  <si>
    <t>SMALL_PSI_SHIELD_25</t>
  </si>
  <si>
    <t>MEDIUM_PSI_SHIELD_2</t>
    <phoneticPr fontId="1" type="noConversion"/>
  </si>
  <si>
    <t>MEDIUM_PSI_SHIELD_3</t>
  </si>
  <si>
    <t>MEDIUM_PSI_SHIELD_4</t>
  </si>
  <si>
    <t>MEDIUM_PSI_SHIELD_5</t>
  </si>
  <si>
    <t>MEDIUM_PSI_SHIELD_6</t>
  </si>
  <si>
    <t>MEDIUM_PSI_SHIELD_7</t>
  </si>
  <si>
    <t>MEDIUM_PSI_SHIELD_8</t>
  </si>
  <si>
    <t>MEDIUM_PSI_SHIELD_9</t>
  </si>
  <si>
    <t>MEDIUM_PSI_SHIELD_10</t>
  </si>
  <si>
    <t>MEDIUM_PSI_SHIELD_11</t>
  </si>
  <si>
    <t>MEDIUM_PSI_SHIELD_12</t>
  </si>
  <si>
    <t>MEDIUM_PSI_SHIELD_13</t>
  </si>
  <si>
    <t>MEDIUM_PSI_SHIELD_14</t>
  </si>
  <si>
    <t>MEDIUM_PSI_SHIELD_15</t>
  </si>
  <si>
    <t>MEDIUM_PSI_SHIELD_16</t>
  </si>
  <si>
    <t>MEDIUM_PSI_SHIELD_17</t>
  </si>
  <si>
    <t>MEDIUM_PSI_SHIELD_18</t>
  </si>
  <si>
    <t>MEDIUM_PSI_SHIELD_19</t>
  </si>
  <si>
    <t>MEDIUM_PSI_SHIELD_20</t>
  </si>
  <si>
    <t>MEDIUM_PSI_SHIELD_21</t>
  </si>
  <si>
    <t>MEDIUM_PSI_SHIELD_22</t>
  </si>
  <si>
    <t>MEDIUM_PSI_SHIELD_23</t>
  </si>
  <si>
    <t>MEDIUM_PSI_SHIELD_24</t>
  </si>
  <si>
    <t>MEDIUM_PSI_SHIELD_25</t>
  </si>
  <si>
    <t>LARGE_PSI_SHIELD_2</t>
    <phoneticPr fontId="1" type="noConversion"/>
  </si>
  <si>
    <t>LARGE_PSI_SHIELD_3</t>
  </si>
  <si>
    <t>LARGE_PSI_SHIELD_4</t>
  </si>
  <si>
    <t>LARGE_PSI_SHIELD_5</t>
  </si>
  <si>
    <t>LARGE_PSI_SHIELD_6</t>
  </si>
  <si>
    <t>LARGE_PSI_SHIELD_7</t>
  </si>
  <si>
    <t>LARGE_PSI_SHIELD_8</t>
  </si>
  <si>
    <t>LARGE_PSI_SHIELD_9</t>
  </si>
  <si>
    <t>LARGE_PSI_SHIELD_10</t>
  </si>
  <si>
    <t>LARGE_PSI_SHIELD_11</t>
  </si>
  <si>
    <t>LARGE_PSI_SHIELD_12</t>
  </si>
  <si>
    <t>LARGE_PSI_SHIELD_13</t>
  </si>
  <si>
    <t>LARGE_PSI_SHIELD_14</t>
  </si>
  <si>
    <t>LARGE_PSI_SHIELD_15</t>
  </si>
  <si>
    <t>LARGE_PSI_SHIELD_16</t>
  </si>
  <si>
    <t>LARGE_PSI_SHIELD_17</t>
  </si>
  <si>
    <t>LARGE_PSI_SHIELD_18</t>
  </si>
  <si>
    <t>LARGE_PSI_SHIELD_19</t>
  </si>
  <si>
    <t>LARGE_PSI_SHIELD_20</t>
  </si>
  <si>
    <t>LARGE_PSI_SHIELD_21</t>
  </si>
  <si>
    <t>LARGE_PSI_SHIELD_22</t>
  </si>
  <si>
    <t>LARGE_PSI_SHIELD_23</t>
  </si>
  <si>
    <t>LARGE_PSI_SHIELD_24</t>
  </si>
  <si>
    <t>LARGE_PSI_SHIELD_25</t>
  </si>
  <si>
    <t>SMALL_DRAGON_ARMOR_2</t>
    <phoneticPr fontId="1" type="noConversion"/>
  </si>
  <si>
    <t>SMALL_DRAGON_ARMOR_3</t>
  </si>
  <si>
    <t>SMALL_DRAGON_ARMOR_4</t>
  </si>
  <si>
    <t>SMALL_DRAGON_ARMOR_5</t>
  </si>
  <si>
    <t>SMALL_DRAGON_ARMOR_6</t>
  </si>
  <si>
    <t>SMALL_DRAGON_ARMOR_7</t>
  </si>
  <si>
    <t>SMALL_DRAGON_ARMOR_8</t>
  </si>
  <si>
    <t>SMALL_DRAGON_ARMOR_9</t>
  </si>
  <si>
    <t>SMALL_DRAGON_ARMOR_10</t>
  </si>
  <si>
    <t>SMALL_DRAGON_ARMOR_11</t>
  </si>
  <si>
    <t>SMALL_DRAGON_ARMOR_12</t>
  </si>
  <si>
    <t>SMALL_DRAGON_ARMOR_13</t>
  </si>
  <si>
    <t>SMALL_DRAGON_ARMOR_14</t>
  </si>
  <si>
    <t>SMALL_DRAGON_ARMOR_15</t>
  </si>
  <si>
    <t>SMALL_DRAGON_ARMOR_16</t>
  </si>
  <si>
    <t>SMALL_DRAGON_ARMOR_17</t>
  </si>
  <si>
    <t>SMALL_DRAGON_ARMOR_18</t>
  </si>
  <si>
    <t>SMALL_DRAGON_ARMOR_19</t>
  </si>
  <si>
    <t>SMALL_DRAGON_ARMOR_20</t>
  </si>
  <si>
    <t>SMALL_DRAGON_ARMOR_21</t>
  </si>
  <si>
    <t>SMALL_DRAGON_ARMOR_22</t>
  </si>
  <si>
    <t>SMALL_DRAGON_ARMOR_23</t>
  </si>
  <si>
    <t>SMALL_DRAGON_ARMOR_24</t>
  </si>
  <si>
    <t>SMALL_DRAGON_ARMOR_25</t>
  </si>
  <si>
    <t>MEDIUM_DRAGON_ARMOR_2</t>
    <phoneticPr fontId="1" type="noConversion"/>
  </si>
  <si>
    <t>MEDIUM_DRAGON_ARMOR_3</t>
  </si>
  <si>
    <t>MEDIUM_DRAGON_ARMOR_4</t>
  </si>
  <si>
    <t>MEDIUM_DRAGON_ARMOR_6</t>
  </si>
  <si>
    <t>MEDIUM_DRAGON_ARMOR_7</t>
  </si>
  <si>
    <t>MEDIUM_DRAGON_ARMOR_8</t>
  </si>
  <si>
    <t>MEDIUM_DRAGON_ARMOR_9</t>
  </si>
  <si>
    <t>MEDIUM_DRAGON_ARMOR_5</t>
  </si>
  <si>
    <t>MEDIUM_DRAGON_ARMOR_10</t>
  </si>
  <si>
    <t>MEDIUM_DRAGON_ARMOR_11</t>
  </si>
  <si>
    <t>MEDIUM_DRAGON_ARMOR_12</t>
  </si>
  <si>
    <t>MEDIUM_DRAGON_ARMOR_13</t>
  </si>
  <si>
    <t>MEDIUM_DRAGON_ARMOR_14</t>
  </si>
  <si>
    <t>MEDIUM_DRAGON_ARMOR_15</t>
  </si>
  <si>
    <t>MEDIUM_DRAGON_ARMOR_16</t>
  </si>
  <si>
    <t>MEDIUM_DRAGON_ARMOR_17</t>
  </si>
  <si>
    <t>MEDIUM_DRAGON_ARMOR_18</t>
  </si>
  <si>
    <t>MEDIUM_DRAGON_ARMOR_19</t>
  </si>
  <si>
    <t>MEDIUM_DRAGON_ARMOR_20</t>
  </si>
  <si>
    <t>MEDIUM_DRAGON_ARMOR_21</t>
  </si>
  <si>
    <t>MEDIUM_DRAGON_ARMOR_22</t>
  </si>
  <si>
    <t>MEDIUM_DRAGON_ARMOR_23</t>
  </si>
  <si>
    <t>MEDIUM_DRAGON_ARMOR_24</t>
  </si>
  <si>
    <t>MEDIUM_DRAGON_ARMOR_25</t>
  </si>
  <si>
    <t>LARGE_DRAGON_ARMOR_2</t>
    <phoneticPr fontId="1" type="noConversion"/>
  </si>
  <si>
    <t>LARGE_DRAGON_ARMOR_3</t>
  </si>
  <si>
    <t>LARGE_DRAGON_ARMOR_4</t>
  </si>
  <si>
    <t>LARGE_DRAGON_ARMOR_5</t>
  </si>
  <si>
    <t>LARGE_DRAGON_ARMOR_6</t>
  </si>
  <si>
    <t>LARGE_DRAGON_ARMOR_7</t>
  </si>
  <si>
    <t>LARGE_DRAGON_ARMOR_8</t>
  </si>
  <si>
    <t>LARGE_DRAGON_ARMOR_9</t>
  </si>
  <si>
    <t>LARGE_DRAGON_ARMOR_10</t>
  </si>
  <si>
    <t>LARGE_DRAGON_ARMOR_11</t>
  </si>
  <si>
    <t>LARGE_DRAGON_ARMOR_12</t>
  </si>
  <si>
    <t>LARGE_DRAGON_ARMOR_13</t>
  </si>
  <si>
    <t>LARGE_DRAGON_ARMOR_14</t>
  </si>
  <si>
    <t>LARGE_DRAGON_ARMOR_15</t>
  </si>
  <si>
    <t>LARGE_DRAGON_ARMOR_16</t>
  </si>
  <si>
    <t>LARGE_DRAGON_ARMOR_17</t>
  </si>
  <si>
    <t>LARGE_DRAGON_ARMOR_18</t>
  </si>
  <si>
    <t>LARGE_DRAGON_ARMOR_19</t>
  </si>
  <si>
    <t>LARGE_DRAGON_ARMOR_20</t>
  </si>
  <si>
    <t>LARGE_DRAGON_ARMOR_21</t>
  </si>
  <si>
    <t>LARGE_DRAGON_ARMOR_22</t>
  </si>
  <si>
    <t>LARGE_DRAGON_ARMOR_23</t>
  </si>
  <si>
    <t>LARGE_DRAGON_ARMOR_24</t>
  </si>
  <si>
    <t>LARGE_DRAGON_ARMOR_25</t>
  </si>
  <si>
    <t>小型龙鳞甲</t>
    <phoneticPr fontId="1" type="noConversion"/>
  </si>
  <si>
    <t>中型龙鳞甲</t>
    <phoneticPr fontId="1" type="noConversion"/>
  </si>
  <si>
    <t>大型龙鳞甲</t>
    <phoneticPr fontId="1" type="noConversion"/>
  </si>
  <si>
    <t>护盾泽洛花费</t>
    <phoneticPr fontId="1" type="noConversion"/>
  </si>
  <si>
    <t>科技需求</t>
    <phoneticPr fontId="1" type="noConversion"/>
  </si>
  <si>
    <t>装甲值</t>
    <phoneticPr fontId="1" type="noConversion"/>
  </si>
  <si>
    <t>合金花费</t>
    <phoneticPr fontId="1" type="noConversion"/>
  </si>
  <si>
    <t>repeatableTechCost_shield_2</t>
    <phoneticPr fontId="1" type="noConversion"/>
  </si>
  <si>
    <t>repeatableTechCost_shield_3</t>
  </si>
  <si>
    <t>repeatableTechCost_shield_4</t>
  </si>
  <si>
    <t>repeatableTechCost_shield_5</t>
  </si>
  <si>
    <t>repeatableTechCost_shield_6</t>
  </si>
  <si>
    <t>repeatableTechCost_shield_7</t>
  </si>
  <si>
    <t>repeatableTechCost_shield_8</t>
  </si>
  <si>
    <t>repeatableTechCost_shield_9</t>
  </si>
  <si>
    <t>repeatableTechCost_shield_10</t>
  </si>
  <si>
    <t>repeatableTechCost_shield_11</t>
  </si>
  <si>
    <t>repeatableTechCost_shield_12</t>
  </si>
  <si>
    <t>repeatableTechCost_shield_13</t>
  </si>
  <si>
    <t>repeatableTechCost_shield_14</t>
  </si>
  <si>
    <t>repeatableTechCost_shield_15</t>
  </si>
  <si>
    <t>repeatableTechCost_shield_16</t>
  </si>
  <si>
    <t>repeatableTechCost_shield_17</t>
  </si>
  <si>
    <t>repeatableTechCost_shield_18</t>
  </si>
  <si>
    <t>repeatableTechCost_shield_19</t>
  </si>
  <si>
    <t>repeatableTechCost_shield_20</t>
  </si>
  <si>
    <t>repeatableTechCost_shield_21</t>
  </si>
  <si>
    <t>repeatableTechCost_shield_22</t>
  </si>
  <si>
    <t>repeatableTechCost_shield_23</t>
  </si>
  <si>
    <t>repeatableTechCost_shield_24</t>
  </si>
  <si>
    <t>repeatableTechCost_shield_25</t>
  </si>
  <si>
    <t>repeatableTechCost_armor_2</t>
    <phoneticPr fontId="1" type="noConversion"/>
  </si>
  <si>
    <t>repeatableTechCost_armor_3</t>
  </si>
  <si>
    <t>repeatableTechCost_armor_4</t>
  </si>
  <si>
    <t>repeatableTechCost_armor_5</t>
  </si>
  <si>
    <t>repeatableTechCost_armor_6</t>
  </si>
  <si>
    <t>repeatableTechCost_armor_7</t>
  </si>
  <si>
    <t>repeatableTechCost_armor_8</t>
  </si>
  <si>
    <t>repeatableTechCost_armor_9</t>
  </si>
  <si>
    <t>repeatableTechCost_armor_10</t>
  </si>
  <si>
    <t>repeatableTechCost_armor_11</t>
  </si>
  <si>
    <t>repeatableTechCost_armor_12</t>
  </si>
  <si>
    <t>repeatableTechCost_armor_13</t>
  </si>
  <si>
    <t>repeatableTechCost_armor_14</t>
  </si>
  <si>
    <t>repeatableTechCost_armor_15</t>
  </si>
  <si>
    <t>repeatableTechCost_armor_16</t>
  </si>
  <si>
    <t>repeatableTechCost_armor_17</t>
  </si>
  <si>
    <t>repeatableTechCost_armor_18</t>
  </si>
  <si>
    <t>repeatableTechCost_armor_19</t>
  </si>
  <si>
    <t>repeatableTechCost_armor_20</t>
  </si>
  <si>
    <t>repeatableTechCost_armor_21</t>
  </si>
  <si>
    <t>repeatableTechCost_armor_22</t>
  </si>
  <si>
    <t>repeatableTechCost_armor_23</t>
  </si>
  <si>
    <t>repeatableTechCost_armor_24</t>
  </si>
  <si>
    <t>repeatableTechCost_armor_25</t>
  </si>
  <si>
    <t>护盾船伤害减免</t>
    <phoneticPr fontId="1" type="noConversion"/>
  </si>
  <si>
    <t>稀有文物花费</t>
    <phoneticPr fontId="1" type="noConversion"/>
  </si>
  <si>
    <t>合金维护费</t>
    <phoneticPr fontId="1" type="noConversion"/>
  </si>
  <si>
    <t>能量维护费</t>
    <phoneticPr fontId="1" type="noConversion"/>
  </si>
  <si>
    <t>护盾每日回复</t>
    <phoneticPr fontId="1" type="noConversion"/>
  </si>
  <si>
    <t>基础护盾承受值</t>
    <phoneticPr fontId="1" type="noConversion"/>
  </si>
  <si>
    <t>护盾承受值加成</t>
    <phoneticPr fontId="1" type="noConversion"/>
  </si>
  <si>
    <t>总护盾值</t>
    <phoneticPr fontId="1" type="noConversion"/>
  </si>
  <si>
    <t>LARGE_ARCHAEO_ARMOR_2</t>
    <phoneticPr fontId="1" type="noConversion"/>
  </si>
  <si>
    <t>LARGE_ARCHAEO_ARMOR_3</t>
  </si>
  <si>
    <t>LARGE_ARCHAEO_ARMOR_5</t>
  </si>
  <si>
    <t>LARGE_ARCHAEO_ARMOR_6</t>
  </si>
  <si>
    <t>LARGE_ARCHAEO_ARMOR_7</t>
  </si>
  <si>
    <t>LARGE_ARCHAEO_ARMOR_8</t>
  </si>
  <si>
    <t>LARGE_ARCHAEO_ARMOR_9</t>
  </si>
  <si>
    <t>LARGE_ARCHAEO_ARMOR_10</t>
  </si>
  <si>
    <t>LARGE_ARCHAEO_ARMOR_11</t>
  </si>
  <si>
    <t>LARGE_ARCHAEO_ARMOR_12</t>
  </si>
  <si>
    <t>LARGE_ARCHAEO_ARMOR_13</t>
  </si>
  <si>
    <t>LARGE_ARCHAEO_ARMOR_14</t>
  </si>
  <si>
    <t>LARGE_ARCHAEO_ARMOR_15</t>
  </si>
  <si>
    <t>LARGE_ARCHAEO_ARMOR_16</t>
  </si>
  <si>
    <t>LARGE_ARCHAEO_ARMOR_17</t>
  </si>
  <si>
    <t>LARGE_ARCHAEO_ARMOR_18</t>
  </si>
  <si>
    <t>LARGE_ARCHAEO_ARMOR_19</t>
  </si>
  <si>
    <t>LARGE_ARCHAEO_ARMOR_20</t>
  </si>
  <si>
    <t>LARGE_ARCHAEO_ARMOR_21</t>
  </si>
  <si>
    <t>LARGE_ARCHAEO_ARMOR_22</t>
  </si>
  <si>
    <t>LARGE_ARCHAEO_ARMOR_23</t>
  </si>
  <si>
    <t>LARGE_ARCHAEO_ARMOR_24</t>
  </si>
  <si>
    <t>LARGE_ARCHAEO_ARMOR_25</t>
  </si>
  <si>
    <t>archaeo_shield_l2</t>
    <phoneticPr fontId="1" type="noConversion"/>
  </si>
  <si>
    <t>archaeo_shield_l3</t>
  </si>
  <si>
    <t>archaeo_shield_l4</t>
  </si>
  <si>
    <t>archaeo_shield_l5</t>
  </si>
  <si>
    <t>archaeo_shield_l6</t>
  </si>
  <si>
    <t>archaeo_shield_l7</t>
  </si>
  <si>
    <t>archaeo_shield_l8</t>
  </si>
  <si>
    <t>archaeo_shield_l9</t>
  </si>
  <si>
    <t>archaeo_shield_l10</t>
  </si>
  <si>
    <t>archaeo_shield_l11</t>
  </si>
  <si>
    <t>archaeo_shield_l12</t>
  </si>
  <si>
    <t>archaeo_shield_l13</t>
  </si>
  <si>
    <t>archaeo_shield_l14</t>
  </si>
  <si>
    <t>archaeo_shield_l15</t>
  </si>
  <si>
    <t>archaeo_shield_l16</t>
  </si>
  <si>
    <t>archaeo_shield_l17</t>
  </si>
  <si>
    <t>archaeo_shield_l18</t>
  </si>
  <si>
    <t>archaeo_shield_l19</t>
  </si>
  <si>
    <t>archaeo_shield_l20</t>
  </si>
  <si>
    <t>archaeo_shield_l21</t>
  </si>
  <si>
    <t>archaeo_shield_l22</t>
  </si>
  <si>
    <t>archaeo_shield_l23</t>
  </si>
  <si>
    <t>archaeo_shield_l24</t>
  </si>
  <si>
    <t>archaeo_shield_l25</t>
  </si>
  <si>
    <t>archaeo_shield_l2_buff</t>
    <phoneticPr fontId="1" type="noConversion"/>
  </si>
  <si>
    <t>archaeo_shield_l3_buff</t>
  </si>
  <si>
    <t>archaeo_shield_l4_buff</t>
  </si>
  <si>
    <t>archaeo_shield_l5_buff</t>
  </si>
  <si>
    <t>archaeo_shield_l6_buff</t>
  </si>
  <si>
    <t>archaeo_shield_l7_buff</t>
  </si>
  <si>
    <t>archaeo_shield_l8_buff</t>
  </si>
  <si>
    <t>archaeo_shield_l9_buff</t>
  </si>
  <si>
    <t>archaeo_shield_l10_buff</t>
  </si>
  <si>
    <t>archaeo_shield_l11_buff</t>
  </si>
  <si>
    <t>archaeo_shield_l12_buff</t>
  </si>
  <si>
    <t>archaeo_shield_l13_buff</t>
  </si>
  <si>
    <t>archaeo_shield_l14_buff</t>
  </si>
  <si>
    <t>archaeo_shield_l15_buff</t>
  </si>
  <si>
    <t>archaeo_shield_l16_buff</t>
  </si>
  <si>
    <t>archaeo_shield_l17_buff</t>
  </si>
  <si>
    <t>archaeo_shield_l18_buff</t>
  </si>
  <si>
    <t>archaeo_shield_l19_buff</t>
  </si>
  <si>
    <t>archaeo_shield_l20_buff</t>
  </si>
  <si>
    <t>archaeo_shield_l21_buff</t>
  </si>
  <si>
    <t>archaeo_shield_l22_buff</t>
  </si>
  <si>
    <t>archaeo_shield_l23_buff</t>
  </si>
  <si>
    <t>archaeo_shield_l24_buff</t>
  </si>
  <si>
    <t>archaeo_shield_regen_l2</t>
    <phoneticPr fontId="1" type="noConversion"/>
  </si>
  <si>
    <t>archaeo_shield_regen_l3</t>
  </si>
  <si>
    <t>archaeo_shield_regen_l4</t>
  </si>
  <si>
    <t>archaeo_shield_regen_l5</t>
  </si>
  <si>
    <t>archaeo_shield_regen_l6</t>
  </si>
  <si>
    <t>archaeo_shield_regen_l7</t>
  </si>
  <si>
    <t>archaeo_shield_regen_l8</t>
  </si>
  <si>
    <t>archaeo_shield_regen_l9</t>
  </si>
  <si>
    <t>archaeo_shield_regen_l10</t>
  </si>
  <si>
    <t>archaeo_shield_regen_l11</t>
  </si>
  <si>
    <t>archaeo_shield_regen_l12</t>
  </si>
  <si>
    <t>archaeo_shield_regen_l13</t>
  </si>
  <si>
    <t>archaeo_shield_regen_l14</t>
  </si>
  <si>
    <t>archaeo_shield_regen_l15</t>
  </si>
  <si>
    <t>archaeo_shield_regen_l16</t>
  </si>
  <si>
    <t>archaeo_shield_regen_l17</t>
  </si>
  <si>
    <t>archaeo_shield_regen_l18</t>
  </si>
  <si>
    <t>archaeo_shield_regen_l19</t>
  </si>
  <si>
    <t>archaeo_shield_regen_l20</t>
  </si>
  <si>
    <t>archaeo_shield_regen_l21</t>
  </si>
  <si>
    <t>archaeo_shield_regen_l22</t>
  </si>
  <si>
    <t>archaeo_shield_regen_l23</t>
  </si>
  <si>
    <t>archaeo_shield_regen_l24</t>
  </si>
  <si>
    <t>archaeo_shield_regen_l25</t>
  </si>
  <si>
    <t>archaeo_armor_l2</t>
    <phoneticPr fontId="1" type="noConversion"/>
  </si>
  <si>
    <t>archaeo_armor_l3</t>
  </si>
  <si>
    <t>archaeo_armor_l4</t>
  </si>
  <si>
    <t>archaeo_armor_l5</t>
  </si>
  <si>
    <t>archaeo_armor_l6</t>
  </si>
  <si>
    <t>archaeo_armor_l7</t>
  </si>
  <si>
    <t>archaeo_armor_l8</t>
  </si>
  <si>
    <t>archaeo_armor_l9</t>
  </si>
  <si>
    <t>archaeo_armor_l10</t>
  </si>
  <si>
    <t>archaeo_armor_l11</t>
  </si>
  <si>
    <t>archaeo_armor_l12</t>
  </si>
  <si>
    <t>archaeo_armor_l13</t>
  </si>
  <si>
    <t>archaeo_armor_l14</t>
  </si>
  <si>
    <t>archaeo_armor_l15</t>
  </si>
  <si>
    <t>archaeo_armor_l16</t>
  </si>
  <si>
    <t>archaeo_armor_l17</t>
  </si>
  <si>
    <t>archaeo_armor_l18</t>
  </si>
  <si>
    <t>archaeo_armor_l19</t>
  </si>
  <si>
    <t>archaeo_armor_l20</t>
  </si>
  <si>
    <t>archaeo_armor_l21</t>
  </si>
  <si>
    <t>archaeo_armor_l22</t>
  </si>
  <si>
    <t>archaeo_armor_l23</t>
  </si>
  <si>
    <t>archaeo_armor_l24</t>
  </si>
  <si>
    <t>archaeo_armor_l25</t>
  </si>
  <si>
    <t>archaeo_alloys_cost_l2</t>
    <phoneticPr fontId="1" type="noConversion"/>
  </si>
  <si>
    <t>archaeo_alloys_cost_l3</t>
  </si>
  <si>
    <t>archaeo_alloys_cost_l4</t>
  </si>
  <si>
    <t>archaeo_alloys_cost_l5</t>
  </si>
  <si>
    <t>archaeo_alloys_cost_l6</t>
  </si>
  <si>
    <t>archaeo_alloys_cost_l7</t>
  </si>
  <si>
    <t>archaeo_alloys_cost_l8</t>
  </si>
  <si>
    <t>archaeo_alloys_cost_l9</t>
  </si>
  <si>
    <t>archaeo_alloys_cost_l10</t>
  </si>
  <si>
    <t>archaeo_alloys_cost_l11</t>
  </si>
  <si>
    <t>archaeo_alloys_cost_l12</t>
  </si>
  <si>
    <t>archaeo_alloys_cost_l13</t>
  </si>
  <si>
    <t>archaeo_alloys_cost_l14</t>
  </si>
  <si>
    <t>archaeo_alloys_cost_l15</t>
  </si>
  <si>
    <t>archaeo_alloys_cost_l16</t>
  </si>
  <si>
    <t>archaeo_alloys_cost_l17</t>
  </si>
  <si>
    <t>archaeo_alloys_cost_l18</t>
  </si>
  <si>
    <t>archaeo_alloys_cost_l19</t>
  </si>
  <si>
    <t>archaeo_alloys_cost_l20</t>
  </si>
  <si>
    <t>archaeo_alloys_cost_l21</t>
  </si>
  <si>
    <t>archaeo_alloys_cost_l22</t>
  </si>
  <si>
    <t>archaeo_alloys_cost_l23</t>
  </si>
  <si>
    <t>archaeo_alloys_cost_l24</t>
  </si>
  <si>
    <t>archaeo_alloys_cost_l25</t>
  </si>
  <si>
    <t>LARGE_ARCHAEO_ARMOR_4</t>
    <phoneticPr fontId="1" type="noConversion"/>
  </si>
  <si>
    <t>MEDIUM_ARCHAEO_ARMOR_2</t>
    <phoneticPr fontId="1" type="noConversion"/>
  </si>
  <si>
    <t>MEDIUM_ARCHAEO_ARMOR_3</t>
  </si>
  <si>
    <t>MEDIUM_ARCHAEO_ARMOR_4</t>
  </si>
  <si>
    <t>MEDIUM_ARCHAEO_ARMOR_5</t>
  </si>
  <si>
    <t>MEDIUM_ARCHAEO_ARMOR_6</t>
  </si>
  <si>
    <t>MEDIUM_ARCHAEO_ARMOR_7</t>
  </si>
  <si>
    <t>MEDIUM_ARCHAEO_ARMOR_8</t>
  </si>
  <si>
    <t>MEDIUM_ARCHAEO_ARMOR_9</t>
  </si>
  <si>
    <t>MEDIUM_ARCHAEO_ARMOR_10</t>
  </si>
  <si>
    <t>MEDIUM_ARCHAEO_ARMOR_11</t>
  </si>
  <si>
    <t>MEDIUM_ARCHAEO_ARMOR_12</t>
  </si>
  <si>
    <t>MEDIUM_ARCHAEO_ARMOR_13</t>
  </si>
  <si>
    <t>MEDIUM_ARCHAEO_ARMOR_14</t>
  </si>
  <si>
    <t>MEDIUM_ARCHAEO_ARMOR_15</t>
  </si>
  <si>
    <t>MEDIUM_ARCHAEO_ARMOR_16</t>
  </si>
  <si>
    <t>MEDIUM_ARCHAEO_ARMOR_17</t>
  </si>
  <si>
    <t>MEDIUM_ARCHAEO_ARMOR_18</t>
  </si>
  <si>
    <t>MEDIUM_ARCHAEO_ARMOR_19</t>
  </si>
  <si>
    <t>MEDIUM_ARCHAEO_ARMOR_20</t>
  </si>
  <si>
    <t>MEDIUM_ARCHAEO_ARMOR_21</t>
  </si>
  <si>
    <t>MEDIUM_ARCHAEO_ARMOR_22</t>
  </si>
  <si>
    <t>MEDIUM_ARCHAEO_ARMOR_23</t>
  </si>
  <si>
    <t>MEDIUM_ARCHAEO_ARMOR_24</t>
  </si>
  <si>
    <t>MEDIUM_ARCHAEO_ARMOR_25</t>
  </si>
  <si>
    <t>archaeo_shield_m2</t>
    <phoneticPr fontId="1" type="noConversion"/>
  </si>
  <si>
    <t>archaeo_shield_m3</t>
  </si>
  <si>
    <t>archaeo_shield_m4</t>
  </si>
  <si>
    <t>archaeo_shield_m5</t>
  </si>
  <si>
    <t>archaeo_shield_m6</t>
  </si>
  <si>
    <t>archaeo_shield_m7</t>
  </si>
  <si>
    <t>archaeo_shield_m8</t>
  </si>
  <si>
    <t>archaeo_shield_m9</t>
  </si>
  <si>
    <t>archaeo_shield_m10</t>
  </si>
  <si>
    <t>archaeo_shield_m11</t>
  </si>
  <si>
    <t>archaeo_shield_m12</t>
  </si>
  <si>
    <t>archaeo_shield_m13</t>
  </si>
  <si>
    <t>archaeo_shield_m14</t>
  </si>
  <si>
    <t>archaeo_shield_m15</t>
  </si>
  <si>
    <t>archaeo_shield_m16</t>
  </si>
  <si>
    <t>archaeo_shield_m17</t>
  </si>
  <si>
    <t>archaeo_shield_m18</t>
  </si>
  <si>
    <t>archaeo_shield_m19</t>
  </si>
  <si>
    <t>archaeo_shield_m20</t>
  </si>
  <si>
    <t>archaeo_shield_m21</t>
  </si>
  <si>
    <t>archaeo_shield_m22</t>
  </si>
  <si>
    <t>archaeo_shield_m23</t>
  </si>
  <si>
    <t>archaeo_shield_m24</t>
  </si>
  <si>
    <t>archaeo_shield_m25</t>
  </si>
  <si>
    <t>archaeo_shield_m2_buff</t>
    <phoneticPr fontId="1" type="noConversion"/>
  </si>
  <si>
    <t>archaeo_shield_m3_buff</t>
  </si>
  <si>
    <t>archaeo_shield_m4_buff</t>
  </si>
  <si>
    <t>archaeo_shield_m5_buff</t>
  </si>
  <si>
    <t>archaeo_shield_m6_buff</t>
  </si>
  <si>
    <t>archaeo_shield_m7_buff</t>
  </si>
  <si>
    <t>archaeo_shield_m8_buff</t>
  </si>
  <si>
    <t>archaeo_shield_m9_buff</t>
  </si>
  <si>
    <t>archaeo_shield_m10_buff</t>
  </si>
  <si>
    <t>archaeo_shield_m11_buff</t>
  </si>
  <si>
    <t>archaeo_shield_m12_buff</t>
  </si>
  <si>
    <t>archaeo_shield_m13_buff</t>
  </si>
  <si>
    <t>archaeo_shield_m14_buff</t>
  </si>
  <si>
    <t>archaeo_shield_m15_buff</t>
  </si>
  <si>
    <t>archaeo_shield_m16_buff</t>
  </si>
  <si>
    <t>archaeo_shield_m17_buff</t>
  </si>
  <si>
    <t>archaeo_shield_m18_buff</t>
  </si>
  <si>
    <t>archaeo_shield_m19_buff</t>
  </si>
  <si>
    <t>archaeo_shield_m20_buff</t>
  </si>
  <si>
    <t>archaeo_shield_m21_buff</t>
  </si>
  <si>
    <t>archaeo_shield_m22_buff</t>
  </si>
  <si>
    <t>archaeo_shield_m23_buff</t>
  </si>
  <si>
    <t>archaeo_shield_m24_buff</t>
  </si>
  <si>
    <t>archaeo_shield_m25_buff</t>
  </si>
  <si>
    <t>archaeo_shield_regen_m2</t>
    <phoneticPr fontId="1" type="noConversion"/>
  </si>
  <si>
    <t>archaeo_shield_regen_m3</t>
  </si>
  <si>
    <t>archaeo_shield_regen_m4</t>
  </si>
  <si>
    <t>archaeo_shield_regen_m5</t>
  </si>
  <si>
    <t>archaeo_shield_regen_m6</t>
  </si>
  <si>
    <t>archaeo_shield_regen_m7</t>
  </si>
  <si>
    <t>archaeo_shield_regen_m8</t>
  </si>
  <si>
    <t>archaeo_shield_regen_m9</t>
  </si>
  <si>
    <t>archaeo_shield_regen_m10</t>
  </si>
  <si>
    <t>archaeo_shield_regen_m11</t>
  </si>
  <si>
    <t>archaeo_shield_regen_m12</t>
  </si>
  <si>
    <t>archaeo_shield_regen_m13</t>
  </si>
  <si>
    <t>archaeo_shield_regen_m14</t>
  </si>
  <si>
    <t>archaeo_shield_regen_m15</t>
  </si>
  <si>
    <t>archaeo_shield_regen_m16</t>
  </si>
  <si>
    <t>archaeo_shield_regen_m17</t>
  </si>
  <si>
    <t>archaeo_shield_regen_m18</t>
  </si>
  <si>
    <t>archaeo_shield_regen_m19</t>
  </si>
  <si>
    <t>archaeo_shield_regen_m20</t>
  </si>
  <si>
    <t>archaeo_shield_regen_m21</t>
  </si>
  <si>
    <t>archaeo_shield_regen_m22</t>
  </si>
  <si>
    <t>archaeo_shield_regen_m23</t>
  </si>
  <si>
    <t>archaeo_shield_regen_m24</t>
  </si>
  <si>
    <t>archaeo_shield_regen_m25</t>
  </si>
  <si>
    <t>archaeo_armor_m2</t>
    <phoneticPr fontId="1" type="noConversion"/>
  </si>
  <si>
    <t>archaeo_armor_m3</t>
  </si>
  <si>
    <t>archaeo_armor_m4</t>
  </si>
  <si>
    <t>archaeo_armor_m5</t>
  </si>
  <si>
    <t>archaeo_armor_m6</t>
  </si>
  <si>
    <t>archaeo_armor_m7</t>
  </si>
  <si>
    <t>archaeo_armor_m8</t>
  </si>
  <si>
    <t>archaeo_armor_m9</t>
  </si>
  <si>
    <t>archaeo_armor_m10</t>
  </si>
  <si>
    <t>archaeo_armor_m11</t>
  </si>
  <si>
    <t>archaeo_armor_m12</t>
  </si>
  <si>
    <t>archaeo_armor_m13</t>
  </si>
  <si>
    <t>archaeo_armor_m14</t>
  </si>
  <si>
    <t>archaeo_armor_m15</t>
  </si>
  <si>
    <t>archaeo_armor_m16</t>
  </si>
  <si>
    <t>archaeo_armor_m17</t>
  </si>
  <si>
    <t>archaeo_armor_m18</t>
  </si>
  <si>
    <t>archaeo_armor_m19</t>
  </si>
  <si>
    <t>archaeo_armor_m20</t>
  </si>
  <si>
    <t>archaeo_armor_m21</t>
  </si>
  <si>
    <t>archaeo_armor_m22</t>
  </si>
  <si>
    <t>archaeo_armor_m23</t>
  </si>
  <si>
    <t>archaeo_armor_m24</t>
  </si>
  <si>
    <t>archaeo_armor_m25</t>
  </si>
  <si>
    <t>archaeo_alloys_cost_m2</t>
    <phoneticPr fontId="1" type="noConversion"/>
  </si>
  <si>
    <t>archaeo_alloys_cost_m3</t>
  </si>
  <si>
    <t>archaeo_alloys_cost_m4</t>
  </si>
  <si>
    <t>archaeo_alloys_cost_m5</t>
  </si>
  <si>
    <t>archaeo_alloys_cost_m6</t>
  </si>
  <si>
    <t>archaeo_alloys_cost_m7</t>
  </si>
  <si>
    <t>archaeo_alloys_cost_m8</t>
  </si>
  <si>
    <t>archaeo_alloys_cost_m9</t>
  </si>
  <si>
    <t>archaeo_alloys_cost_m10</t>
  </si>
  <si>
    <t>archaeo_alloys_cost_m11</t>
  </si>
  <si>
    <t>archaeo_alloys_cost_m12</t>
  </si>
  <si>
    <t>archaeo_alloys_cost_m13</t>
  </si>
  <si>
    <t>archaeo_alloys_cost_m14</t>
  </si>
  <si>
    <t>archaeo_alloys_cost_m15</t>
  </si>
  <si>
    <t>archaeo_alloys_cost_m16</t>
  </si>
  <si>
    <t>archaeo_alloys_cost_m17</t>
  </si>
  <si>
    <t>archaeo_alloys_cost_m18</t>
  </si>
  <si>
    <t>archaeo_alloys_cost_m19</t>
  </si>
  <si>
    <t>archaeo_alloys_cost_m20</t>
  </si>
  <si>
    <t>archaeo_alloys_cost_m21</t>
  </si>
  <si>
    <t>archaeo_alloys_cost_m22</t>
  </si>
  <si>
    <t>archaeo_alloys_cost_m23</t>
  </si>
  <si>
    <t>archaeo_alloys_cost_m24</t>
  </si>
  <si>
    <t>archaeo_alloys_cost_m25</t>
  </si>
  <si>
    <t>SMALL_ARCHAEO_ARMOR_2</t>
    <phoneticPr fontId="1" type="noConversion"/>
  </si>
  <si>
    <t>SMALL_ARCHAEO_ARMOR_3</t>
  </si>
  <si>
    <t>SMALL_ARCHAEO_ARMOR_4</t>
  </si>
  <si>
    <t>SMALL_ARCHAEO_ARMOR_5</t>
  </si>
  <si>
    <t>SMALL_ARCHAEO_ARMOR_6</t>
  </si>
  <si>
    <t>SMALL_ARCHAEO_ARMOR_7</t>
  </si>
  <si>
    <t>SMALL_ARCHAEO_ARMOR_8</t>
  </si>
  <si>
    <t>SMALL_ARCHAEO_ARMOR_9</t>
  </si>
  <si>
    <t>SMALL_ARCHAEO_ARMOR_10</t>
  </si>
  <si>
    <t>SMALL_ARCHAEO_ARMOR_11</t>
  </si>
  <si>
    <t>SMALL_ARCHAEO_ARMOR_12</t>
  </si>
  <si>
    <t>SMALL_ARCHAEO_ARMOR_13</t>
  </si>
  <si>
    <t>SMALL_ARCHAEO_ARMOR_14</t>
  </si>
  <si>
    <t>SMALL_ARCHAEO_ARMOR_15</t>
  </si>
  <si>
    <t>SMALL_ARCHAEO_ARMOR_16</t>
  </si>
  <si>
    <t>SMALL_ARCHAEO_ARMOR_17</t>
  </si>
  <si>
    <t>SMALL_ARCHAEO_ARMOR_18</t>
  </si>
  <si>
    <t>SMALL_ARCHAEO_ARMOR_19</t>
  </si>
  <si>
    <t>SMALL_ARCHAEO_ARMOR_20</t>
  </si>
  <si>
    <t>SMALL_ARCHAEO_ARMOR_21</t>
  </si>
  <si>
    <t>SMALL_ARCHAEO_ARMOR_22</t>
  </si>
  <si>
    <t>SMALL_ARCHAEO_ARMOR_23</t>
  </si>
  <si>
    <t>SMALL_ARCHAEO_ARMOR_24</t>
  </si>
  <si>
    <t>SMALL_ARCHAEO_ARMOR_25</t>
  </si>
  <si>
    <t>archaeo_shield_s2</t>
    <phoneticPr fontId="1" type="noConversion"/>
  </si>
  <si>
    <t>archaeo_shield_s3</t>
  </si>
  <si>
    <t>archaeo_shield_s4</t>
  </si>
  <si>
    <t>archaeo_shield_s5</t>
  </si>
  <si>
    <t>archaeo_shield_s6</t>
  </si>
  <si>
    <t>archaeo_shield_s7</t>
  </si>
  <si>
    <t>archaeo_shield_s8</t>
  </si>
  <si>
    <t>archaeo_shield_s9</t>
  </si>
  <si>
    <t>archaeo_shield_s10</t>
  </si>
  <si>
    <t>archaeo_shield_s11</t>
  </si>
  <si>
    <t>archaeo_shield_s12</t>
  </si>
  <si>
    <t>archaeo_shield_s13</t>
  </si>
  <si>
    <t>archaeo_shield_s14</t>
  </si>
  <si>
    <t>archaeo_shield_s15</t>
  </si>
  <si>
    <t>archaeo_shield_s16</t>
  </si>
  <si>
    <t>archaeo_shield_s17</t>
  </si>
  <si>
    <t>archaeo_shield_s18</t>
  </si>
  <si>
    <t>archaeo_shield_s19</t>
  </si>
  <si>
    <t>archaeo_shield_s20</t>
  </si>
  <si>
    <t>archaeo_shield_s21</t>
  </si>
  <si>
    <t>archaeo_shield_s22</t>
  </si>
  <si>
    <t>archaeo_shield_s23</t>
  </si>
  <si>
    <t>archaeo_shield_s24</t>
  </si>
  <si>
    <t>archaeo_shield_s25</t>
  </si>
  <si>
    <t>archaeo_shield_s2_buff</t>
    <phoneticPr fontId="1" type="noConversion"/>
  </si>
  <si>
    <t>archaeo_shield_s3_buff</t>
  </si>
  <si>
    <t>archaeo_shield_s4_buff</t>
  </si>
  <si>
    <t>archaeo_shield_s5_buff</t>
  </si>
  <si>
    <t>archaeo_shield_s6_buff</t>
  </si>
  <si>
    <t>archaeo_shield_s7_buff</t>
  </si>
  <si>
    <t>archaeo_shield_s8_buff</t>
  </si>
  <si>
    <t>archaeo_shield_s9_buff</t>
  </si>
  <si>
    <t>archaeo_shield_s10_buff</t>
  </si>
  <si>
    <t>archaeo_shield_s11_buff</t>
  </si>
  <si>
    <t>archaeo_shield_s12_buff</t>
  </si>
  <si>
    <t>archaeo_shield_s13_buff</t>
  </si>
  <si>
    <t>archaeo_shield_s14_buff</t>
  </si>
  <si>
    <t>archaeo_shield_s15_buff</t>
  </si>
  <si>
    <t>archaeo_shield_s16_buff</t>
  </si>
  <si>
    <t>archaeo_shield_s17_buff</t>
  </si>
  <si>
    <t>archaeo_shield_s18_buff</t>
  </si>
  <si>
    <t>archaeo_shield_s19_buff</t>
  </si>
  <si>
    <t>archaeo_shield_s20_buff</t>
  </si>
  <si>
    <t>archaeo_shield_s21_buff</t>
  </si>
  <si>
    <t>archaeo_shield_s22_buff</t>
  </si>
  <si>
    <t>archaeo_shield_s23_buff</t>
  </si>
  <si>
    <t>archaeo_shield_s24_buff</t>
  </si>
  <si>
    <t>archaeo_shield_s25_buff</t>
  </si>
  <si>
    <t>archaeo_shield_regen_s2</t>
    <phoneticPr fontId="1" type="noConversion"/>
  </si>
  <si>
    <t>archaeo_shield_regen_s3</t>
  </si>
  <si>
    <t>archaeo_shield_regen_s4</t>
  </si>
  <si>
    <t>archaeo_shield_regen_s5</t>
  </si>
  <si>
    <t>archaeo_shield_regen_s6</t>
  </si>
  <si>
    <t>archaeo_shield_regen_s7</t>
  </si>
  <si>
    <t>archaeo_shield_regen_s8</t>
  </si>
  <si>
    <t>archaeo_shield_regen_s9</t>
  </si>
  <si>
    <t>archaeo_shield_regen_s10</t>
  </si>
  <si>
    <t>archaeo_shield_regen_s11</t>
  </si>
  <si>
    <t>archaeo_shield_regen_s12</t>
  </si>
  <si>
    <t>archaeo_shield_regen_s13</t>
  </si>
  <si>
    <t>archaeo_shield_regen_s14</t>
  </si>
  <si>
    <t>archaeo_shield_regen_s15</t>
  </si>
  <si>
    <t>archaeo_shield_regen_s16</t>
  </si>
  <si>
    <t>archaeo_shield_regen_s17</t>
  </si>
  <si>
    <t>archaeo_shield_regen_s18</t>
  </si>
  <si>
    <t>archaeo_shield_regen_s19</t>
  </si>
  <si>
    <t>archaeo_shield_regen_s20</t>
  </si>
  <si>
    <t>archaeo_shield_regen_s21</t>
  </si>
  <si>
    <t>archaeo_shield_regen_s22</t>
  </si>
  <si>
    <t>archaeo_shield_regen_s23</t>
  </si>
  <si>
    <t>archaeo_shield_regen_s24</t>
  </si>
  <si>
    <t>archaeo_shield_regen_s25</t>
  </si>
  <si>
    <t>archaeo_armor_s2</t>
    <phoneticPr fontId="1" type="noConversion"/>
  </si>
  <si>
    <t>archaeo_armor_s3</t>
  </si>
  <si>
    <t>archaeo_armor_s4</t>
  </si>
  <si>
    <t>archaeo_armor_s5</t>
  </si>
  <si>
    <t>archaeo_armor_s6</t>
  </si>
  <si>
    <t>archaeo_armor_s7</t>
  </si>
  <si>
    <t>archaeo_armor_s8</t>
  </si>
  <si>
    <t>archaeo_armor_s9</t>
  </si>
  <si>
    <t>archaeo_armor_s10</t>
  </si>
  <si>
    <t>archaeo_armor_s11</t>
  </si>
  <si>
    <t>archaeo_armor_s12</t>
  </si>
  <si>
    <t>archaeo_armor_s13</t>
  </si>
  <si>
    <t>archaeo_armor_s14</t>
  </si>
  <si>
    <t>archaeo_armor_s15</t>
  </si>
  <si>
    <t>archaeo_armor_s16</t>
  </si>
  <si>
    <t>archaeo_armor_s17</t>
  </si>
  <si>
    <t>archaeo_armor_s18</t>
  </si>
  <si>
    <t>archaeo_armor_s19</t>
  </si>
  <si>
    <t>archaeo_armor_s20</t>
  </si>
  <si>
    <t>archaeo_armor_s21</t>
  </si>
  <si>
    <t>archaeo_armor_s22</t>
  </si>
  <si>
    <t>archaeo_armor_s23</t>
  </si>
  <si>
    <t>archaeo_armor_s24</t>
  </si>
  <si>
    <t>archaeo_armor_s25</t>
  </si>
  <si>
    <t>archaeo_alloys_cost_s2</t>
    <phoneticPr fontId="1" type="noConversion"/>
  </si>
  <si>
    <t>archaeo_alloys_cost_s3</t>
  </si>
  <si>
    <t>archaeo_alloys_cost_s4</t>
  </si>
  <si>
    <t>archaeo_alloys_cost_s5</t>
  </si>
  <si>
    <t>archaeo_alloys_cost_s6</t>
  </si>
  <si>
    <t>archaeo_alloys_cost_s7</t>
  </si>
  <si>
    <t>archaeo_alloys_cost_s8</t>
  </si>
  <si>
    <t>archaeo_alloys_cost_s9</t>
  </si>
  <si>
    <t>archaeo_alloys_cost_s10</t>
  </si>
  <si>
    <t>archaeo_alloys_cost_s11</t>
  </si>
  <si>
    <t>archaeo_alloys_cost_s12</t>
  </si>
  <si>
    <t>archaeo_alloys_cost_s13</t>
  </si>
  <si>
    <t>archaeo_alloys_cost_s14</t>
  </si>
  <si>
    <t>archaeo_alloys_cost_s15</t>
  </si>
  <si>
    <t>archaeo_alloys_cost_s16</t>
  </si>
  <si>
    <t>archaeo_alloys_cost_s17</t>
  </si>
  <si>
    <t>archaeo_alloys_cost_s18</t>
  </si>
  <si>
    <t>archaeo_alloys_cost_s19</t>
  </si>
  <si>
    <t>archaeo_alloys_cost_s20</t>
  </si>
  <si>
    <t>archaeo_alloys_cost_s21</t>
  </si>
  <si>
    <t>archaeo_alloys_cost_s22</t>
  </si>
  <si>
    <t>archaeo_alloys_cost_s23</t>
  </si>
  <si>
    <t>archaeo_alloys_cost_s24</t>
  </si>
  <si>
    <t>archaeo_alloys_cost_s25</t>
  </si>
  <si>
    <t>repeatableTechCost_archaeo_2</t>
    <phoneticPr fontId="1" type="noConversion"/>
  </si>
  <si>
    <t>repeatableTechCost_archaeo_3</t>
  </si>
  <si>
    <t>repeatableTechCost_archaeo_4</t>
  </si>
  <si>
    <t>repeatableTechCost_archaeo_5</t>
  </si>
  <si>
    <t>repeatableTechCost_archaeo_6</t>
  </si>
  <si>
    <t>repeatableTechCost_archaeo_7</t>
  </si>
  <si>
    <t>repeatableTechCost_archaeo_8</t>
  </si>
  <si>
    <t>repeatableTechCost_archaeo_9</t>
  </si>
  <si>
    <t>repeatableTechCost_archaeo_10</t>
  </si>
  <si>
    <t>repeatableTechCost_archaeo_11</t>
  </si>
  <si>
    <t>repeatableTechCost_archaeo_12</t>
  </si>
  <si>
    <t>repeatableTechCost_archaeo_13</t>
  </si>
  <si>
    <t>repeatableTechCost_archaeo_14</t>
  </si>
  <si>
    <t>repeatableTechCost_archaeo_15</t>
  </si>
  <si>
    <t>repeatableTechCost_archaeo_16</t>
  </si>
  <si>
    <t>repeatableTechCost_archaeo_17</t>
  </si>
  <si>
    <t>repeatableTechCost_archaeo_18</t>
  </si>
  <si>
    <t>repeatableTechCost_archaeo_19</t>
  </si>
  <si>
    <t>repeatableTechCost_archaeo_20</t>
  </si>
  <si>
    <t>repeatableTechCost_archaeo_21</t>
  </si>
  <si>
    <t>repeatableTechCost_archaeo_22</t>
  </si>
  <si>
    <t>repeatableTechCost_archaeo_23</t>
  </si>
  <si>
    <t>repeatableTechCost_archaeo_24</t>
  </si>
  <si>
    <t>repeatableTechCost_archaeo_25</t>
  </si>
  <si>
    <t>archaeo_shield_l25_buff</t>
    <phoneticPr fontId="1" type="noConversion"/>
  </si>
  <si>
    <t>SMALL_PSI_BIO_SHIELD_2</t>
    <phoneticPr fontId="1" type="noConversion"/>
  </si>
  <si>
    <t>SMALL_PSI_BIO_SHIELD_3</t>
  </si>
  <si>
    <t>SMALL_PSI_BIO_SHIELD_4</t>
  </si>
  <si>
    <t>SMALL_PSI_BIO_SHIELD_5</t>
  </si>
  <si>
    <t>SMALL_PSI_BIO_SHIELD_6</t>
  </si>
  <si>
    <t>SMALL_PSI_BIO_SHIELD_7</t>
  </si>
  <si>
    <t>SMALL_PSI_BIO_SHIELD_8</t>
  </si>
  <si>
    <t>SMALL_PSI_BIO_SHIELD_9</t>
  </si>
  <si>
    <t>SMALL_PSI_BIO_SHIELD_10</t>
  </si>
  <si>
    <t>SMALL_PSI_BIO_SHIELD_11</t>
  </si>
  <si>
    <t>SMALL_PSI_BIO_SHIELD_12</t>
  </si>
  <si>
    <t>SMALL_PSI_BIO_SHIELD_13</t>
  </si>
  <si>
    <t>SMALL_PSI_BIO_SHIELD_14</t>
  </si>
  <si>
    <t>SMALL_PSI_BIO_SHIELD_15</t>
  </si>
  <si>
    <t>SMALL_PSI_BIO_SHIELD_16</t>
  </si>
  <si>
    <t>SMALL_PSI_BIO_SHIELD_17</t>
  </si>
  <si>
    <t>SMALL_PSI_BIO_SHIELD_18</t>
  </si>
  <si>
    <t>SMALL_PSI_BIO_SHIELD_19</t>
  </si>
  <si>
    <t>SMALL_PSI_BIO_SHIELD_20</t>
  </si>
  <si>
    <t>SMALL_PSI_BIO_SHIELD_21</t>
  </si>
  <si>
    <t>SMALL_PSI_BIO_SHIELD_22</t>
  </si>
  <si>
    <t>SMALL_PSI_BIO_SHIELD_23</t>
  </si>
  <si>
    <t>SMALL_PSI_BIO_SHIELD_24</t>
  </si>
  <si>
    <t>SMALL_PSI_BIO_SHIELD_25</t>
  </si>
  <si>
    <t>app_bio_shield_s3</t>
  </si>
  <si>
    <t>app_bio_shield_s4</t>
  </si>
  <si>
    <t>app_bio_shield_s5</t>
  </si>
  <si>
    <t>app_bio_shield_s6</t>
  </si>
  <si>
    <t>app_bio_shield_s7</t>
  </si>
  <si>
    <t>app_bio_shield_s8</t>
  </si>
  <si>
    <t>app_bio_shield_s9</t>
  </si>
  <si>
    <t>app_bio_shield_s10</t>
  </si>
  <si>
    <t>app_bio_shield_s11</t>
  </si>
  <si>
    <t>app_bio_shield_s12</t>
  </si>
  <si>
    <t>app_bio_shield_s13</t>
  </si>
  <si>
    <t>app_bio_shield_s14</t>
  </si>
  <si>
    <t>app_bio_shield_s15</t>
  </si>
  <si>
    <t>app_bio_shield_s16</t>
  </si>
  <si>
    <t>app_bio_shield_s17</t>
  </si>
  <si>
    <t>app_bio_shield_s18</t>
  </si>
  <si>
    <t>app_bio_shield_s19</t>
  </si>
  <si>
    <t>app_bio_shield_s20</t>
  </si>
  <si>
    <t>app_bio_shield_s21</t>
  </si>
  <si>
    <t>app_bio_shield_s22</t>
  </si>
  <si>
    <t>app_bio_shield_s23</t>
  </si>
  <si>
    <t>app_bio_shield_s24</t>
  </si>
  <si>
    <t>app_bio_shield_regen_s3</t>
  </si>
  <si>
    <t>app_bio_shield_regen_s4</t>
  </si>
  <si>
    <t>app_bio_shield_regen_s5</t>
  </si>
  <si>
    <t>app_bio_shield_regen_s6</t>
  </si>
  <si>
    <t>app_bio_shield_regen_s7</t>
  </si>
  <si>
    <t>app_bio_shield_regen_s8</t>
  </si>
  <si>
    <t>app_bio_shield_regen_s9</t>
  </si>
  <si>
    <t>app_bio_shield_regen_s10</t>
  </si>
  <si>
    <t>app_bio_shield_regen_s11</t>
  </si>
  <si>
    <t>app_bio_shield_regen_s12</t>
  </si>
  <si>
    <t>app_bio_shield_regen_s13</t>
  </si>
  <si>
    <t>app_bio_shield_regen_s14</t>
  </si>
  <si>
    <t>app_bio_shield_regen_s15</t>
  </si>
  <si>
    <t>app_bio_shield_regen_s16</t>
  </si>
  <si>
    <t>app_bio_shield_regen_s17</t>
  </si>
  <si>
    <t>app_bio_shield_regen_s18</t>
  </si>
  <si>
    <t>app_bio_shield_regen_s19</t>
  </si>
  <si>
    <t>app_bio_shield_regen_s20</t>
  </si>
  <si>
    <t>app_bio_shield_regen_s21</t>
  </si>
  <si>
    <t>app_bio_shield_regen_s22</t>
  </si>
  <si>
    <t>app_bio_shield_regen_s23</t>
  </si>
  <si>
    <t>app_bio_shield_regen_s24</t>
  </si>
  <si>
    <t>MEDIUM_PSI_BIO_SHIELD_2</t>
    <phoneticPr fontId="1" type="noConversion"/>
  </si>
  <si>
    <t>MEDIUM_PSI_BIO_SHIELD_3</t>
  </si>
  <si>
    <t>MEDIUM_PSI_BIO_SHIELD_4</t>
  </si>
  <si>
    <t>MEDIUM_PSI_BIO_SHIELD_5</t>
  </si>
  <si>
    <t>MEDIUM_PSI_BIO_SHIELD_6</t>
  </si>
  <si>
    <t>MEDIUM_PSI_BIO_SHIELD_7</t>
  </si>
  <si>
    <t>MEDIUM_PSI_BIO_SHIELD_8</t>
  </si>
  <si>
    <t>MEDIUM_PSI_BIO_SHIELD_9</t>
  </si>
  <si>
    <t>MEDIUM_PSI_BIO_SHIELD_10</t>
  </si>
  <si>
    <t>MEDIUM_PSI_BIO_SHIELD_11</t>
  </si>
  <si>
    <t>MEDIUM_PSI_BIO_SHIELD_12</t>
  </si>
  <si>
    <t>MEDIUM_PSI_BIO_SHIELD_13</t>
  </si>
  <si>
    <t>MEDIUM_PSI_BIO_SHIELD_14</t>
  </si>
  <si>
    <t>MEDIUM_PSI_BIO_SHIELD_15</t>
  </si>
  <si>
    <t>MEDIUM_PSI_BIO_SHIELD_16</t>
  </si>
  <si>
    <t>MEDIUM_PSI_BIO_SHIELD_17</t>
  </si>
  <si>
    <t>MEDIUM_PSI_BIO_SHIELD_18</t>
  </si>
  <si>
    <t>MEDIUM_PSI_BIO_SHIELD_19</t>
  </si>
  <si>
    <t>MEDIUM_PSI_BIO_SHIELD_20</t>
  </si>
  <si>
    <t>MEDIUM_PSI_BIO_SHIELD_21</t>
  </si>
  <si>
    <t>MEDIUM_PSI_BIO_SHIELD_22</t>
  </si>
  <si>
    <t>MEDIUM_PSI_BIO_SHIELD_23</t>
  </si>
  <si>
    <t>MEDIUM_PSI_BIO_SHIELD_24</t>
  </si>
  <si>
    <t>MEDIUM_PSI_BIO_SHIELD_25</t>
  </si>
  <si>
    <t>app_bio_shield_m3</t>
  </si>
  <si>
    <t>app_bio_shield_m4</t>
  </si>
  <si>
    <t>app_bio_shield_m5</t>
  </si>
  <si>
    <t>app_bio_shield_m6</t>
  </si>
  <si>
    <t>app_bio_shield_m7</t>
  </si>
  <si>
    <t>app_bio_shield_m8</t>
  </si>
  <si>
    <t>app_bio_shield_m9</t>
  </si>
  <si>
    <t>app_bio_shield_m10</t>
  </si>
  <si>
    <t>app_bio_shield_m11</t>
  </si>
  <si>
    <t>app_bio_shield_m12</t>
  </si>
  <si>
    <t>app_bio_shield_m13</t>
  </si>
  <si>
    <t>app_bio_shield_m14</t>
  </si>
  <si>
    <t>app_bio_shield_m15</t>
  </si>
  <si>
    <t>app_bio_shield_m16</t>
  </si>
  <si>
    <t>app_bio_shield_m17</t>
  </si>
  <si>
    <t>app_bio_shield_m18</t>
  </si>
  <si>
    <t>app_bio_shield_m19</t>
  </si>
  <si>
    <t>app_bio_shield_m20</t>
  </si>
  <si>
    <t>app_bio_shield_m21</t>
  </si>
  <si>
    <t>app_bio_shield_m22</t>
  </si>
  <si>
    <t>app_bio_shield_m23</t>
  </si>
  <si>
    <t>app_bio_shield_m24</t>
  </si>
  <si>
    <t>app_bio_shield_regen_m3</t>
  </si>
  <si>
    <t>app_bio_shield_regen_m4</t>
  </si>
  <si>
    <t>app_bio_shield_regen_m5</t>
  </si>
  <si>
    <t>app_bio_shield_regen_m6</t>
  </si>
  <si>
    <t>app_bio_shield_regen_m7</t>
  </si>
  <si>
    <t>app_bio_shield_regen_m8</t>
  </si>
  <si>
    <t>app_bio_shield_regen_m9</t>
  </si>
  <si>
    <t>app_bio_shield_regen_m10</t>
  </si>
  <si>
    <t>app_bio_shield_regen_m11</t>
  </si>
  <si>
    <t>app_bio_shield_regen_m12</t>
  </si>
  <si>
    <t>app_bio_shield_regen_m13</t>
  </si>
  <si>
    <t>app_bio_shield_regen_m14</t>
  </si>
  <si>
    <t>app_bio_shield_regen_m15</t>
  </si>
  <si>
    <t>app_bio_shield_regen_m16</t>
  </si>
  <si>
    <t>app_bio_shield_regen_m17</t>
  </si>
  <si>
    <t>app_bio_shield_regen_m18</t>
  </si>
  <si>
    <t>app_bio_shield_regen_m19</t>
  </si>
  <si>
    <t>app_bio_shield_regen_m20</t>
  </si>
  <si>
    <t>app_bio_shield_regen_m21</t>
  </si>
  <si>
    <t>app_bio_shield_regen_m22</t>
  </si>
  <si>
    <t>app_bio_shield_regen_m23</t>
  </si>
  <si>
    <t>app_bio_shield_regen_m24</t>
  </si>
  <si>
    <t>LARGE_PSI_BIO_SHIELD_2</t>
    <phoneticPr fontId="1" type="noConversion"/>
  </si>
  <si>
    <t>LARGE_PSI_BIO_SHIELD_3</t>
  </si>
  <si>
    <t>LARGE_PSI_BIO_SHIELD_4</t>
  </si>
  <si>
    <t>LARGE_PSI_BIO_SHIELD_5</t>
  </si>
  <si>
    <t>LARGE_PSI_BIO_SHIELD_6</t>
  </si>
  <si>
    <t>LARGE_PSI_BIO_SHIELD_7</t>
  </si>
  <si>
    <t>LARGE_PSI_BIO_SHIELD_8</t>
  </si>
  <si>
    <t>LARGE_PSI_BIO_SHIELD_9</t>
  </si>
  <si>
    <t>LARGE_PSI_BIO_SHIELD_10</t>
  </si>
  <si>
    <t>LARGE_PSI_BIO_SHIELD_11</t>
  </si>
  <si>
    <t>LARGE_PSI_BIO_SHIELD_12</t>
  </si>
  <si>
    <t>LARGE_PSI_BIO_SHIELD_13</t>
  </si>
  <si>
    <t>LARGE_PSI_BIO_SHIELD_14</t>
  </si>
  <si>
    <t>LARGE_PSI_BIO_SHIELD_15</t>
  </si>
  <si>
    <t>LARGE_PSI_BIO_SHIELD_16</t>
  </si>
  <si>
    <t>LARGE_PSI_BIO_SHIELD_17</t>
  </si>
  <si>
    <t>LARGE_PSI_BIO_SHIELD_18</t>
  </si>
  <si>
    <t>LARGE_PSI_BIO_SHIELD_19</t>
  </si>
  <si>
    <t>LARGE_PSI_BIO_SHIELD_20</t>
  </si>
  <si>
    <t>LARGE_PSI_BIO_SHIELD_21</t>
  </si>
  <si>
    <t>LARGE_PSI_BIO_SHIELD_22</t>
  </si>
  <si>
    <t>LARGE_PSI_BIO_SHIELD_23</t>
  </si>
  <si>
    <t>LARGE_PSI_BIO_SHIELD_24</t>
  </si>
  <si>
    <t>LARGE_PSI_BIO_SHIELD_25</t>
  </si>
  <si>
    <t>app_bio_shield_l3</t>
  </si>
  <si>
    <t>app_bio_shield_l4</t>
  </si>
  <si>
    <t>app_bio_shield_l5</t>
  </si>
  <si>
    <t>app_bio_shield_l6</t>
  </si>
  <si>
    <t>app_bio_shield_l7</t>
  </si>
  <si>
    <t>app_bio_shield_l8</t>
  </si>
  <si>
    <t>app_bio_shield_l9</t>
  </si>
  <si>
    <t>app_bio_shield_l10</t>
  </si>
  <si>
    <t>app_bio_shield_l11</t>
  </si>
  <si>
    <t>app_bio_shield_l12</t>
  </si>
  <si>
    <t>app_bio_shield_l13</t>
  </si>
  <si>
    <t>app_bio_shield_l14</t>
  </si>
  <si>
    <t>app_bio_shield_l15</t>
  </si>
  <si>
    <t>app_bio_shield_l16</t>
  </si>
  <si>
    <t>app_bio_shield_l17</t>
  </si>
  <si>
    <t>app_bio_shield_l18</t>
  </si>
  <si>
    <t>app_bio_shield_l19</t>
  </si>
  <si>
    <t>app_bio_shield_l20</t>
  </si>
  <si>
    <t>app_bio_shield_l21</t>
  </si>
  <si>
    <t>app_bio_shield_l22</t>
  </si>
  <si>
    <t>app_bio_shield_l23</t>
  </si>
  <si>
    <t>app_bio_shield_l24</t>
  </si>
  <si>
    <t>app_bio_shield_regen_l3</t>
  </si>
  <si>
    <t>app_bio_shield_regen_l4</t>
  </si>
  <si>
    <t>app_bio_shield_regen_l5</t>
  </si>
  <si>
    <t>app_bio_shield_regen_l6</t>
  </si>
  <si>
    <t>app_bio_shield_regen_l7</t>
  </si>
  <si>
    <t>app_bio_shield_regen_l8</t>
  </si>
  <si>
    <t>app_bio_shield_regen_l9</t>
  </si>
  <si>
    <t>app_bio_shield_regen_l10</t>
  </si>
  <si>
    <t>app_bio_shield_regen_l11</t>
  </si>
  <si>
    <t>app_bio_shield_regen_l12</t>
  </si>
  <si>
    <t>app_bio_shield_regen_l13</t>
  </si>
  <si>
    <t>app_bio_shield_regen_l14</t>
  </si>
  <si>
    <t>app_bio_shield_regen_l15</t>
  </si>
  <si>
    <t>app_bio_shield_regen_l16</t>
  </si>
  <si>
    <t>app_bio_shield_regen_l17</t>
  </si>
  <si>
    <t>app_bio_shield_regen_l18</t>
  </si>
  <si>
    <t>app_bio_shield_regen_l19</t>
  </si>
  <si>
    <t>app_bio_shield_regen_l20</t>
  </si>
  <si>
    <t>app_bio_shield_regen_l21</t>
  </si>
  <si>
    <t>app_bio_shield_regen_l22</t>
  </si>
  <si>
    <t>app_bio_shield_regen_l23</t>
  </si>
  <si>
    <t>app_bio_shield_regen_l24</t>
  </si>
  <si>
    <t>装甲每日回复</t>
    <phoneticPr fontId="1" type="noConversion"/>
  </si>
  <si>
    <t>SMALL_BIO_ARCHAEO_ARMOR_3</t>
  </si>
  <si>
    <t>SMALL_BIO_ARCHAEO_ARMOR_4</t>
  </si>
  <si>
    <t>SMALL_BIO_ARCHAEO_ARMOR_5</t>
  </si>
  <si>
    <t>SMALL_BIO_ARCHAEO_ARMOR_6</t>
  </si>
  <si>
    <t>SMALL_BIO_ARCHAEO_ARMOR_7</t>
  </si>
  <si>
    <t>SMALL_BIO_ARCHAEO_ARMOR_8</t>
  </si>
  <si>
    <t>SMALL_BIO_ARCHAEO_ARMOR_9</t>
  </si>
  <si>
    <t>SMALL_BIO_ARCHAEO_ARMOR_10</t>
  </si>
  <si>
    <t>SMALL_BIO_ARCHAEO_ARMOR_11</t>
  </si>
  <si>
    <t>SMALL_BIO_ARCHAEO_ARMOR_12</t>
  </si>
  <si>
    <t>SMALL_BIO_ARCHAEO_ARMOR_13</t>
  </si>
  <si>
    <t>SMALL_BIO_ARCHAEO_ARMOR_14</t>
  </si>
  <si>
    <t>SMALL_BIO_ARCHAEO_ARMOR_15</t>
  </si>
  <si>
    <t>SMALL_BIO_ARCHAEO_ARMOR_16</t>
  </si>
  <si>
    <t>SMALL_BIO_ARCHAEO_ARMOR_17</t>
  </si>
  <si>
    <t>SMALL_BIO_ARCHAEO_ARMOR_18</t>
  </si>
  <si>
    <t>SMALL_BIO_ARCHAEO_ARMOR_19</t>
  </si>
  <si>
    <t>SMALL_BIO_ARCHAEO_ARMOR_20</t>
  </si>
  <si>
    <t>SMALL_BIO_ARCHAEO_ARMOR_21</t>
  </si>
  <si>
    <t>SMALL_BIO_ARCHAEO_ARMOR_22</t>
  </si>
  <si>
    <t>SMALL_BIO_ARCHAEO_ARMOR_23</t>
  </si>
  <si>
    <t>SMALL_BIO_ARCHAEO_ARMOR_24</t>
  </si>
  <si>
    <t>SMALL_BIO_ARCHAEO_ARMOR_25</t>
  </si>
  <si>
    <t>船体增加值</t>
    <phoneticPr fontId="1" type="noConversion"/>
  </si>
  <si>
    <t>bio_archaeo_shield_s2</t>
    <phoneticPr fontId="1" type="noConversion"/>
  </si>
  <si>
    <t>bio_archaeo_shield_s3</t>
  </si>
  <si>
    <t>bio_archaeo_shield_s5</t>
  </si>
  <si>
    <t>bio_archaeo_shield_s6</t>
  </si>
  <si>
    <t>bio_archaeo_shield_s7</t>
  </si>
  <si>
    <t>bio_archaeo_shield_s8</t>
  </si>
  <si>
    <t>bio_archaeo_shield_s4</t>
  </si>
  <si>
    <t>bio_archaeo_shield_s9</t>
  </si>
  <si>
    <t>bio_archaeo_shield_s10</t>
  </si>
  <si>
    <t>bio_archaeo_shield_s11</t>
  </si>
  <si>
    <t>bio_archaeo_shield_s12</t>
  </si>
  <si>
    <t>bio_archaeo_shield_s13</t>
  </si>
  <si>
    <t>bio_archaeo_shield_s14</t>
  </si>
  <si>
    <t>bio_archaeo_shield_s15</t>
  </si>
  <si>
    <t>bio_archaeo_shield_s16</t>
  </si>
  <si>
    <t>bio_archaeo_shield_s17</t>
  </si>
  <si>
    <t>bio_archaeo_shield_s18</t>
  </si>
  <si>
    <t>bio_archaeo_shield_s19</t>
  </si>
  <si>
    <t>bio_archaeo_shield_s20</t>
  </si>
  <si>
    <t>bio_archaeo_shield_s21</t>
  </si>
  <si>
    <t>bio_archaeo_shield_s22</t>
  </si>
  <si>
    <t>bio_archaeo_shield_s23</t>
  </si>
  <si>
    <t>bio_archaeo_shield_s24</t>
  </si>
  <si>
    <t>bio_archaeo_shield_s25</t>
  </si>
  <si>
    <t>bio_archaeo_shield_m2</t>
    <phoneticPr fontId="1" type="noConversion"/>
  </si>
  <si>
    <t>bio_archaeo_shield_m3</t>
  </si>
  <si>
    <t>bio_archaeo_shield_m4</t>
  </si>
  <si>
    <t>bio_archaeo_shield_m5</t>
  </si>
  <si>
    <t>bio_archaeo_shield_m6</t>
  </si>
  <si>
    <t>bio_archaeo_shield_m7</t>
  </si>
  <si>
    <t>bio_archaeo_shield_m8</t>
  </si>
  <si>
    <t>bio_archaeo_shield_m9</t>
  </si>
  <si>
    <t>bio_archaeo_shield_m10</t>
  </si>
  <si>
    <t>bio_archaeo_shield_m11</t>
  </si>
  <si>
    <t>bio_archaeo_shield_m12</t>
  </si>
  <si>
    <t>bio_archaeo_shield_m13</t>
  </si>
  <si>
    <t>bio_archaeo_shield_m14</t>
  </si>
  <si>
    <t>bio_archaeo_shield_m15</t>
  </si>
  <si>
    <t>bio_archaeo_shield_m16</t>
  </si>
  <si>
    <t>bio_archaeo_shield_m17</t>
  </si>
  <si>
    <t>bio_archaeo_shield_m18</t>
  </si>
  <si>
    <t>bio_archaeo_shield_m19</t>
  </si>
  <si>
    <t>bio_archaeo_shield_m20</t>
  </si>
  <si>
    <t>bio_archaeo_shield_m21</t>
  </si>
  <si>
    <t>bio_archaeo_shield_m22</t>
  </si>
  <si>
    <t>bio_archaeo_shield_m23</t>
  </si>
  <si>
    <t>bio_archaeo_shield_m24</t>
  </si>
  <si>
    <t>bio_archaeo_shield_m25</t>
  </si>
  <si>
    <t>bio_archaeo_shield_l2</t>
    <phoneticPr fontId="1" type="noConversion"/>
  </si>
  <si>
    <t>bio_archaeo_shield_l4</t>
  </si>
  <si>
    <t>bio_archaeo_shield_l5</t>
  </si>
  <si>
    <t>bio_archaeo_shield_l7</t>
  </si>
  <si>
    <t>bio_archaeo_shield_l8</t>
  </si>
  <si>
    <t>bio_archaeo_shield_l3</t>
  </si>
  <si>
    <t>bio_archaeo_shield_l6</t>
  </si>
  <si>
    <t>bio_archaeo_shield_l9</t>
  </si>
  <si>
    <t>bio_archaeo_shield_l10</t>
  </si>
  <si>
    <t>bio_archaeo_shield_l11</t>
  </si>
  <si>
    <t>bio_archaeo_shield_l12</t>
  </si>
  <si>
    <t>bio_archaeo_shield_l13</t>
  </si>
  <si>
    <t>bio_archaeo_shield_l14</t>
  </si>
  <si>
    <t>bio_archaeo_shield_l15</t>
  </si>
  <si>
    <t>bio_archaeo_shield_l16</t>
  </si>
  <si>
    <t>bio_archaeo_shield_l17</t>
  </si>
  <si>
    <t>bio_archaeo_shield_l18</t>
  </si>
  <si>
    <t>bio_archaeo_shield_l19</t>
  </si>
  <si>
    <t>bio_archaeo_shield_l20</t>
  </si>
  <si>
    <t>bio_archaeo_shield_l21</t>
  </si>
  <si>
    <t>bio_archaeo_shield_l22</t>
  </si>
  <si>
    <t>bio_archaeo_shield_l23</t>
  </si>
  <si>
    <t>bio_archaeo_shield_l24</t>
  </si>
  <si>
    <t>bio_archaeo_shield_l25</t>
  </si>
  <si>
    <t>bio_archaeo_shield_buff_s2</t>
    <phoneticPr fontId="1" type="noConversion"/>
  </si>
  <si>
    <t>bio_archaeo_shield_buff_s4</t>
  </si>
  <si>
    <t>bio_archaeo_shield_buff_s5</t>
  </si>
  <si>
    <t>bio_archaeo_shield_buff_s7</t>
  </si>
  <si>
    <t>bio_archaeo_shield_buff_s8</t>
  </si>
  <si>
    <t>bio_archaeo_shield_buff_s3</t>
  </si>
  <si>
    <t>bio_archaeo_shield_buff_s6</t>
  </si>
  <si>
    <t>bio_archaeo_shield_buff_s9</t>
  </si>
  <si>
    <t>bio_archaeo_shield_buff_s10</t>
  </si>
  <si>
    <t>bio_archaeo_shield_buff_s11</t>
  </si>
  <si>
    <t>bio_archaeo_shield_buff_s12</t>
  </si>
  <si>
    <t>bio_archaeo_shield_buff_s13</t>
  </si>
  <si>
    <t>bio_archaeo_shield_buff_s14</t>
  </si>
  <si>
    <t>bio_archaeo_shield_buff_s15</t>
  </si>
  <si>
    <t>bio_archaeo_shield_buff_s16</t>
  </si>
  <si>
    <t>bio_archaeo_shield_buff_s17</t>
  </si>
  <si>
    <t>bio_archaeo_shield_buff_s18</t>
  </si>
  <si>
    <t>bio_archaeo_shield_buff_s19</t>
  </si>
  <si>
    <t>bio_archaeo_shield_buff_s20</t>
  </si>
  <si>
    <t>bio_archaeo_shield_buff_s21</t>
  </si>
  <si>
    <t>bio_archaeo_shield_buff_s22</t>
  </si>
  <si>
    <t>bio_archaeo_shield_buff_s23</t>
  </si>
  <si>
    <t>bio_archaeo_shield_buff_s24</t>
  </si>
  <si>
    <t>bio_archaeo_shield_buff_s25</t>
  </si>
  <si>
    <t>bio_archaeo_shield_regen_s2</t>
    <phoneticPr fontId="1" type="noConversion"/>
  </si>
  <si>
    <t>bio_archaeo_shield_regen_s3</t>
  </si>
  <si>
    <t>bio_archaeo_shield_regen_s4</t>
  </si>
  <si>
    <t>bio_archaeo_shield_regen_s5</t>
  </si>
  <si>
    <t>bio_archaeo_shield_regen_s6</t>
  </si>
  <si>
    <t>bio_archaeo_shield_regen_s7</t>
  </si>
  <si>
    <t>bio_archaeo_shield_regen_s8</t>
  </si>
  <si>
    <t>bio_archaeo_shield_regen_s9</t>
  </si>
  <si>
    <t>bio_archaeo_shield_regen_s10</t>
  </si>
  <si>
    <t>bio_archaeo_shield_regen_s11</t>
  </si>
  <si>
    <t>bio_archaeo_shield_regen_s12</t>
  </si>
  <si>
    <t>bio_archaeo_shield_regen_s13</t>
  </si>
  <si>
    <t>bio_archaeo_shield_regen_s14</t>
  </si>
  <si>
    <t>bio_archaeo_shield_regen_s15</t>
  </si>
  <si>
    <t>bio_archaeo_shield_regen_s16</t>
  </si>
  <si>
    <t>bio_archaeo_shield_regen_s17</t>
  </si>
  <si>
    <t>bio_archaeo_shield_regen_s18</t>
  </si>
  <si>
    <t>bio_archaeo_shield_regen_s19</t>
  </si>
  <si>
    <t>bio_archaeo_shield_regen_s20</t>
  </si>
  <si>
    <t>bio_archaeo_shield_regen_s21</t>
  </si>
  <si>
    <t>bio_archaeo_shield_regen_s22</t>
  </si>
  <si>
    <t>bio_archaeo_shield_regen_s23</t>
  </si>
  <si>
    <t>bio_archaeo_shield_regen_s24</t>
  </si>
  <si>
    <t>bio_archaeo_shield_regen_s25</t>
  </si>
  <si>
    <t>bio_archaeo_shield_regen_l6</t>
    <phoneticPr fontId="1" type="noConversion"/>
  </si>
  <si>
    <t>bio_archaeo_shield_regen_l2</t>
  </si>
  <si>
    <t>bio_archaeo_shield_regen_l3</t>
  </si>
  <si>
    <t>bio_archaeo_shield_regen_l4</t>
  </si>
  <si>
    <t>bio_archaeo_shield_regen_l5</t>
  </si>
  <si>
    <t>bio_archaeo_shield_regen_l7</t>
  </si>
  <si>
    <t>bio_archaeo_shield_regen_l8</t>
  </si>
  <si>
    <t>bio_archaeo_shield_regen_l9</t>
  </si>
  <si>
    <t>bio_archaeo_shield_regen_l10</t>
  </si>
  <si>
    <t>bio_archaeo_shield_regen_l11</t>
  </si>
  <si>
    <t>bio_archaeo_shield_regen_l12</t>
  </si>
  <si>
    <t>bio_archaeo_shield_regen_l13</t>
  </si>
  <si>
    <t>bio_archaeo_shield_regen_l14</t>
  </si>
  <si>
    <t>bio_archaeo_shield_regen_l15</t>
  </si>
  <si>
    <t>bio_archaeo_shield_regen_l16</t>
  </si>
  <si>
    <t>bio_archaeo_shield_regen_l17</t>
  </si>
  <si>
    <t>bio_archaeo_shield_regen_l18</t>
  </si>
  <si>
    <t>bio_archaeo_shield_regen_l19</t>
  </si>
  <si>
    <t>bio_archaeo_shield_regen_l20</t>
  </si>
  <si>
    <t>bio_archaeo_shield_regen_l21</t>
  </si>
  <si>
    <t>bio_archaeo_shield_regen_l22</t>
  </si>
  <si>
    <t>bio_archaeo_shield_regen_l23</t>
  </si>
  <si>
    <t>bio_archaeo_shield_regen_l24</t>
  </si>
  <si>
    <t>bio_archaeo_shield_regen_l25</t>
  </si>
  <si>
    <t>bio_archaeo_shield_regen_m2</t>
    <phoneticPr fontId="1" type="noConversion"/>
  </si>
  <si>
    <t>bio_archaeo_shield_regen_m3</t>
  </si>
  <si>
    <t>bio_archaeo_shield_regen_m4</t>
  </si>
  <si>
    <t>bio_archaeo_shield_regen_m5</t>
  </si>
  <si>
    <t>bio_archaeo_shield_regen_m6</t>
  </si>
  <si>
    <t>bio_archaeo_shield_regen_m7</t>
  </si>
  <si>
    <t>bio_archaeo_shield_regen_m8</t>
  </si>
  <si>
    <t>bio_archaeo_shield_regen_m9</t>
  </si>
  <si>
    <t>bio_archaeo_shield_regen_m10</t>
  </si>
  <si>
    <t>bio_archaeo_shield_regen_m11</t>
  </si>
  <si>
    <t>bio_archaeo_shield_regen_m12</t>
  </si>
  <si>
    <t>bio_archaeo_shield_regen_m13</t>
  </si>
  <si>
    <t>bio_archaeo_shield_regen_m14</t>
  </si>
  <si>
    <t>bio_archaeo_shield_regen_m15</t>
  </si>
  <si>
    <t>bio_archaeo_shield_regen_m16</t>
  </si>
  <si>
    <t>bio_archaeo_shield_regen_m17</t>
  </si>
  <si>
    <t>bio_archaeo_shield_regen_m18</t>
  </si>
  <si>
    <t>bio_archaeo_shield_regen_m19</t>
  </si>
  <si>
    <t>bio_archaeo_shield_regen_m20</t>
  </si>
  <si>
    <t>bio_archaeo_shield_regen_m21</t>
  </si>
  <si>
    <t>bio_archaeo_shield_regen_m22</t>
  </si>
  <si>
    <t>bio_archaeo_shield_regen_m23</t>
  </si>
  <si>
    <t>bio_archaeo_shield_regen_m24</t>
  </si>
  <si>
    <t>bio_archaeo_shield_regen_m25</t>
  </si>
  <si>
    <t>SMALL_BIO_ARCHAEO_ARMOR_2</t>
    <phoneticPr fontId="1" type="noConversion"/>
  </si>
  <si>
    <t>app_bio_shield_l2</t>
    <phoneticPr fontId="1" type="noConversion"/>
  </si>
  <si>
    <t>app_bio_shield_l25</t>
  </si>
  <si>
    <t>app_bio_shield_regen_l2</t>
    <phoneticPr fontId="1" type="noConversion"/>
  </si>
  <si>
    <t>app_bio_shield_regen_l25</t>
  </si>
  <si>
    <t>app_bio_shield_m2</t>
    <phoneticPr fontId="1" type="noConversion"/>
  </si>
  <si>
    <t>app_bio_shield_m25</t>
  </si>
  <si>
    <t>app_bio_shield_regen_m2</t>
    <phoneticPr fontId="1" type="noConversion"/>
  </si>
  <si>
    <t>app_bio_shield_regen_m25</t>
  </si>
  <si>
    <t>app_bio_shield_s2</t>
    <phoneticPr fontId="1" type="noConversion"/>
  </si>
  <si>
    <t>app_bio_shield_s25</t>
  </si>
  <si>
    <t>app_bio_shield_regen_s2</t>
    <phoneticPr fontId="1" type="noConversion"/>
  </si>
  <si>
    <t>app_bio_shield_regen_s25</t>
  </si>
  <si>
    <t>bio_archaeo_armor_regen_l2</t>
    <phoneticPr fontId="1" type="noConversion"/>
  </si>
  <si>
    <t>bio_archaeo_armor_regen_l3</t>
  </si>
  <si>
    <t>bio_archaeo_armor_regen_l4</t>
  </si>
  <si>
    <t>bio_archaeo_armor_regen_l5</t>
  </si>
  <si>
    <t>bio_archaeo_armor_regen_l6</t>
  </si>
  <si>
    <t>bio_archaeo_armor_regen_l7</t>
  </si>
  <si>
    <t>bio_archaeo_armor_regen_l8</t>
  </si>
  <si>
    <t>bio_archaeo_armor_regen_l9</t>
  </si>
  <si>
    <t>bio_archaeo_armor_regen_l10</t>
  </si>
  <si>
    <t>bio_archaeo_armor_regen_l11</t>
  </si>
  <si>
    <t>bio_archaeo_armor_regen_l12</t>
  </si>
  <si>
    <t>bio_archaeo_armor_regen_l13</t>
  </si>
  <si>
    <t>bio_archaeo_armor_regen_l14</t>
  </si>
  <si>
    <t>bio_archaeo_armor_regen_l15</t>
  </si>
  <si>
    <t>bio_archaeo_armor_regen_l16</t>
  </si>
  <si>
    <t>bio_archaeo_armor_regen_l17</t>
  </si>
  <si>
    <t>bio_archaeo_armor_regen_l18</t>
  </si>
  <si>
    <t>bio_archaeo_armor_regen_l19</t>
  </si>
  <si>
    <t>bio_archaeo_armor_regen_l20</t>
  </si>
  <si>
    <t>bio_archaeo_armor_regen_l21</t>
  </si>
  <si>
    <t>bio_archaeo_armor_regen_l22</t>
  </si>
  <si>
    <t>bio_archaeo_armor_regen_l23</t>
  </si>
  <si>
    <t>bio_archaeo_armor_regen_l24</t>
  </si>
  <si>
    <t>bio_archaeo_armor_regen_l25</t>
  </si>
  <si>
    <t>bio_archaeo_hull_l2</t>
    <phoneticPr fontId="1" type="noConversion"/>
  </si>
  <si>
    <t>bio_archaeo_hull_l3</t>
  </si>
  <si>
    <t>bio_archaeo_hull_l4</t>
  </si>
  <si>
    <t>bio_archaeo_hull_l5</t>
  </si>
  <si>
    <t>bio_archaeo_hull_l6</t>
  </si>
  <si>
    <t>bio_archaeo_hull_l7</t>
  </si>
  <si>
    <t>bio_archaeo_hull_l8</t>
  </si>
  <si>
    <t>bio_archaeo_hull_l9</t>
  </si>
  <si>
    <t>bio_archaeo_hull_l10</t>
  </si>
  <si>
    <t>bio_archaeo_hull_l11</t>
  </si>
  <si>
    <t>bio_archaeo_hull_l12</t>
  </si>
  <si>
    <t>bio_archaeo_hull_l13</t>
  </si>
  <si>
    <t>bio_archaeo_hull_l14</t>
  </si>
  <si>
    <t>bio_archaeo_hull_l15</t>
  </si>
  <si>
    <t>bio_archaeo_hull_l16</t>
  </si>
  <si>
    <t>bio_archaeo_hull_l17</t>
  </si>
  <si>
    <t>bio_archaeo_hull_l18</t>
  </si>
  <si>
    <t>bio_archaeo_hull_l19</t>
  </si>
  <si>
    <t>bio_archaeo_hull_l20</t>
  </si>
  <si>
    <t>bio_archaeo_hull_l21</t>
  </si>
  <si>
    <t>bio_archaeo_hull_l22</t>
  </si>
  <si>
    <t>bio_archaeo_hull_l23</t>
  </si>
  <si>
    <t>bio_archaeo_hull_l24</t>
  </si>
  <si>
    <t>bio_archaeo_hull_l25</t>
  </si>
  <si>
    <t>bio_archaeo_armor_l2</t>
    <phoneticPr fontId="1" type="noConversion"/>
  </si>
  <si>
    <t>bio_archaeo_armor_l3</t>
  </si>
  <si>
    <t>bio_archaeo_armor_l4</t>
  </si>
  <si>
    <t>bio_archaeo_armor_l5</t>
  </si>
  <si>
    <t>bio_archaeo_armor_l6</t>
  </si>
  <si>
    <t>bio_archaeo_armor_l7</t>
  </si>
  <si>
    <t>bio_archaeo_armor_l8</t>
  </si>
  <si>
    <t>bio_archaeo_armor_l9</t>
  </si>
  <si>
    <t>bio_archaeo_armor_l10</t>
  </si>
  <si>
    <t>bio_archaeo_armor_l11</t>
  </si>
  <si>
    <t>bio_archaeo_armor_l12</t>
  </si>
  <si>
    <t>bio_archaeo_armor_l13</t>
  </si>
  <si>
    <t>bio_archaeo_armor_l14</t>
  </si>
  <si>
    <t>bio_archaeo_armor_l15</t>
  </si>
  <si>
    <t>bio_archaeo_armor_l16</t>
  </si>
  <si>
    <t>bio_archaeo_armor_l17</t>
  </si>
  <si>
    <t>bio_archaeo_armor_l18</t>
  </si>
  <si>
    <t>bio_archaeo_armor_l19</t>
  </si>
  <si>
    <t>bio_archaeo_armor_l20</t>
  </si>
  <si>
    <t>bio_archaeo_armor_l21</t>
  </si>
  <si>
    <t>bio_archaeo_armor_l22</t>
  </si>
  <si>
    <t>bio_archaeo_armor_l23</t>
  </si>
  <si>
    <t>bio_archaeo_armor_l24</t>
  </si>
  <si>
    <t>bio_archaeo_armor_l25</t>
  </si>
  <si>
    <t>bio_archaeo_hull_m2</t>
    <phoneticPr fontId="1" type="noConversion"/>
  </si>
  <si>
    <t>bio_archaeo_hull_m3</t>
  </si>
  <si>
    <t>bio_archaeo_hull_m4</t>
  </si>
  <si>
    <t>bio_archaeo_hull_m5</t>
  </si>
  <si>
    <t>bio_archaeo_hull_m6</t>
  </si>
  <si>
    <t>bio_archaeo_hull_m7</t>
  </si>
  <si>
    <t>bio_archaeo_hull_m8</t>
  </si>
  <si>
    <t>bio_archaeo_hull_m9</t>
  </si>
  <si>
    <t>bio_archaeo_hull_m10</t>
  </si>
  <si>
    <t>bio_archaeo_hull_m11</t>
  </si>
  <si>
    <t>bio_archaeo_hull_m12</t>
  </si>
  <si>
    <t>bio_archaeo_hull_m13</t>
  </si>
  <si>
    <t>bio_archaeo_hull_m14</t>
  </si>
  <si>
    <t>bio_archaeo_hull_m15</t>
  </si>
  <si>
    <t>bio_archaeo_hull_m16</t>
  </si>
  <si>
    <t>bio_archaeo_hull_m17</t>
  </si>
  <si>
    <t>bio_archaeo_hull_m18</t>
  </si>
  <si>
    <t>bio_archaeo_hull_m19</t>
  </si>
  <si>
    <t>bio_archaeo_hull_m20</t>
  </si>
  <si>
    <t>bio_archaeo_hull_m21</t>
  </si>
  <si>
    <t>bio_archaeo_hull_m22</t>
  </si>
  <si>
    <t>bio_archaeo_hull_m23</t>
  </si>
  <si>
    <t>bio_archaeo_hull_m24</t>
  </si>
  <si>
    <t>bio_archaeo_hull_m25</t>
  </si>
  <si>
    <t>bio_archaeo_armor_regen_m2</t>
    <phoneticPr fontId="1" type="noConversion"/>
  </si>
  <si>
    <t>bio_archaeo_armor_regen_m3</t>
  </si>
  <si>
    <t>bio_archaeo_armor_regen_m4</t>
  </si>
  <si>
    <t>bio_archaeo_armor_regen_m5</t>
  </si>
  <si>
    <t>bio_archaeo_armor_regen_m6</t>
  </si>
  <si>
    <t>bio_archaeo_armor_regen_m7</t>
  </si>
  <si>
    <t>bio_archaeo_armor_regen_m8</t>
  </si>
  <si>
    <t>bio_archaeo_armor_regen_m9</t>
  </si>
  <si>
    <t>bio_archaeo_armor_regen_m10</t>
  </si>
  <si>
    <t>bio_archaeo_armor_regen_m11</t>
  </si>
  <si>
    <t>bio_archaeo_armor_regen_m12</t>
  </si>
  <si>
    <t>bio_archaeo_armor_regen_m13</t>
  </si>
  <si>
    <t>bio_archaeo_armor_regen_m14</t>
  </si>
  <si>
    <t>bio_archaeo_armor_regen_m15</t>
  </si>
  <si>
    <t>bio_archaeo_armor_regen_m16</t>
  </si>
  <si>
    <t>bio_archaeo_armor_regen_m17</t>
  </si>
  <si>
    <t>bio_archaeo_armor_regen_m18</t>
  </si>
  <si>
    <t>bio_archaeo_armor_regen_m19</t>
  </si>
  <si>
    <t>bio_archaeo_armor_regen_m20</t>
  </si>
  <si>
    <t>bio_archaeo_armor_regen_m21</t>
  </si>
  <si>
    <t>bio_archaeo_armor_regen_m22</t>
  </si>
  <si>
    <t>bio_archaeo_armor_regen_m23</t>
  </si>
  <si>
    <t>bio_archaeo_armor_regen_m24</t>
  </si>
  <si>
    <t>bio_archaeo_armor_regen_m25</t>
  </si>
  <si>
    <t>bio_archaeo_armor_m2</t>
    <phoneticPr fontId="1" type="noConversion"/>
  </si>
  <si>
    <t>bio_archaeo_armor_m3</t>
  </si>
  <si>
    <t>bio_archaeo_armor_m4</t>
  </si>
  <si>
    <t>bio_archaeo_armor_m5</t>
  </si>
  <si>
    <t>bio_archaeo_armor_m6</t>
  </si>
  <si>
    <t>bio_archaeo_armor_m7</t>
  </si>
  <si>
    <t>bio_archaeo_armor_m8</t>
  </si>
  <si>
    <t>bio_archaeo_armor_m9</t>
  </si>
  <si>
    <t>bio_archaeo_armor_m10</t>
  </si>
  <si>
    <t>bio_archaeo_armor_m11</t>
  </si>
  <si>
    <t>bio_archaeo_armor_m12</t>
  </si>
  <si>
    <t>bio_archaeo_armor_m13</t>
  </si>
  <si>
    <t>bio_archaeo_armor_m14</t>
  </si>
  <si>
    <t>bio_archaeo_armor_m15</t>
  </si>
  <si>
    <t>bio_archaeo_armor_m16</t>
  </si>
  <si>
    <t>bio_archaeo_armor_m17</t>
  </si>
  <si>
    <t>bio_archaeo_armor_m18</t>
  </si>
  <si>
    <t>bio_archaeo_armor_m19</t>
  </si>
  <si>
    <t>bio_archaeo_armor_m20</t>
  </si>
  <si>
    <t>bio_archaeo_armor_m21</t>
  </si>
  <si>
    <t>bio_archaeo_armor_m22</t>
  </si>
  <si>
    <t>bio_archaeo_armor_m23</t>
  </si>
  <si>
    <t>bio_archaeo_armor_m24</t>
  </si>
  <si>
    <t>bio_archaeo_armor_m25</t>
  </si>
  <si>
    <t>bio_archaeo_armor_s2</t>
    <phoneticPr fontId="1" type="noConversion"/>
  </si>
  <si>
    <t>bio_archaeo_armor_s3</t>
  </si>
  <si>
    <t>bio_archaeo_armor_s4</t>
  </si>
  <si>
    <t>bio_archaeo_armor_s5</t>
  </si>
  <si>
    <t>bio_archaeo_armor_s6</t>
  </si>
  <si>
    <t>bio_archaeo_armor_s7</t>
  </si>
  <si>
    <t>bio_archaeo_armor_s8</t>
  </si>
  <si>
    <t>bio_archaeo_armor_s9</t>
  </si>
  <si>
    <t>bio_archaeo_armor_s10</t>
  </si>
  <si>
    <t>bio_archaeo_armor_s11</t>
  </si>
  <si>
    <t>bio_archaeo_armor_s12</t>
  </si>
  <si>
    <t>bio_archaeo_armor_s13</t>
  </si>
  <si>
    <t>bio_archaeo_armor_s14</t>
  </si>
  <si>
    <t>bio_archaeo_armor_s15</t>
  </si>
  <si>
    <t>bio_archaeo_armor_s16</t>
  </si>
  <si>
    <t>bio_archaeo_armor_s17</t>
  </si>
  <si>
    <t>bio_archaeo_armor_s18</t>
  </si>
  <si>
    <t>bio_archaeo_armor_s19</t>
  </si>
  <si>
    <t>bio_archaeo_armor_s20</t>
  </si>
  <si>
    <t>bio_archaeo_armor_s21</t>
  </si>
  <si>
    <t>bio_archaeo_armor_s22</t>
  </si>
  <si>
    <t>bio_archaeo_armor_s23</t>
  </si>
  <si>
    <t>bio_archaeo_armor_s24</t>
  </si>
  <si>
    <t>bio_archaeo_armor_s25</t>
  </si>
  <si>
    <t>bio_archaeo_armor_regen_s2</t>
    <phoneticPr fontId="1" type="noConversion"/>
  </si>
  <si>
    <t>bio_archaeo_armor_regen_s3</t>
  </si>
  <si>
    <t>bio_archaeo_armor_regen_s4</t>
  </si>
  <si>
    <t>bio_archaeo_armor_regen_s5</t>
  </si>
  <si>
    <t>bio_archaeo_armor_regen_s6</t>
  </si>
  <si>
    <t>bio_archaeo_armor_regen_s7</t>
  </si>
  <si>
    <t>bio_archaeo_armor_regen_s8</t>
  </si>
  <si>
    <t>bio_archaeo_armor_regen_s9</t>
  </si>
  <si>
    <t>bio_archaeo_armor_regen_s10</t>
  </si>
  <si>
    <t>bio_archaeo_armor_regen_s11</t>
  </si>
  <si>
    <t>bio_archaeo_armor_regen_s12</t>
  </si>
  <si>
    <t>bio_archaeo_armor_regen_s13</t>
  </si>
  <si>
    <t>bio_archaeo_armor_regen_s14</t>
  </si>
  <si>
    <t>bio_archaeo_armor_regen_s15</t>
  </si>
  <si>
    <t>bio_archaeo_armor_regen_s16</t>
  </si>
  <si>
    <t>bio_archaeo_armor_regen_s17</t>
  </si>
  <si>
    <t>bio_archaeo_armor_regen_s18</t>
  </si>
  <si>
    <t>bio_archaeo_armor_regen_s19</t>
  </si>
  <si>
    <t>bio_archaeo_armor_regen_s20</t>
  </si>
  <si>
    <t>bio_archaeo_armor_regen_s21</t>
  </si>
  <si>
    <t>bio_archaeo_armor_regen_s22</t>
  </si>
  <si>
    <t>bio_archaeo_armor_regen_s23</t>
  </si>
  <si>
    <t>bio_archaeo_armor_regen_s24</t>
  </si>
  <si>
    <t>bio_archaeo_armor_regen_s25</t>
  </si>
  <si>
    <t>bio_archaeo_hull_s2</t>
    <phoneticPr fontId="1" type="noConversion"/>
  </si>
  <si>
    <t>bio_archaeo_hull_s3</t>
  </si>
  <si>
    <t>bio_archaeo_hull_s4</t>
  </si>
  <si>
    <t>bio_archaeo_hull_s5</t>
  </si>
  <si>
    <t>bio_archaeo_hull_s6</t>
  </si>
  <si>
    <t>bio_archaeo_hull_s7</t>
  </si>
  <si>
    <t>bio_archaeo_hull_s8</t>
  </si>
  <si>
    <t>bio_archaeo_hull_s9</t>
  </si>
  <si>
    <t>bio_archaeo_hull_s10</t>
  </si>
  <si>
    <t>bio_archaeo_hull_s11</t>
  </si>
  <si>
    <t>bio_archaeo_hull_s12</t>
  </si>
  <si>
    <t>bio_archaeo_hull_s13</t>
  </si>
  <si>
    <t>bio_archaeo_hull_s14</t>
  </si>
  <si>
    <t>bio_archaeo_hull_s15</t>
  </si>
  <si>
    <t>bio_archaeo_hull_s16</t>
  </si>
  <si>
    <t>bio_archaeo_hull_s17</t>
  </si>
  <si>
    <t>bio_archaeo_hull_s18</t>
  </si>
  <si>
    <t>bio_archaeo_hull_s19</t>
  </si>
  <si>
    <t>bio_archaeo_hull_s20</t>
  </si>
  <si>
    <t>bio_archaeo_hull_s21</t>
  </si>
  <si>
    <t>bio_archaeo_hull_s22</t>
  </si>
  <si>
    <t>bio_archaeo_hull_s23</t>
  </si>
  <si>
    <t>bio_archaeo_hull_s24</t>
  </si>
  <si>
    <t>bio_archaeo_hull_s25</t>
  </si>
  <si>
    <t>SMALL_DRAGON_BIO_ARMOR_2</t>
    <phoneticPr fontId="1" type="noConversion"/>
  </si>
  <si>
    <t>SMALL_DRAGON_BIO_ARMOR_3</t>
  </si>
  <si>
    <t>SMALL_DRAGON_BIO_ARMOR_4</t>
  </si>
  <si>
    <t>SMALL_DRAGON_BIO_ARMOR_5</t>
  </si>
  <si>
    <t>SMALL_DRAGON_BIO_ARMOR_6</t>
  </si>
  <si>
    <t>SMALL_DRAGON_BIO_ARMOR_7</t>
  </si>
  <si>
    <t>SMALL_DRAGON_BIO_ARMOR_8</t>
  </si>
  <si>
    <t>SMALL_DRAGON_BIO_ARMOR_9</t>
  </si>
  <si>
    <t>SMALL_DRAGON_BIO_ARMOR_10</t>
  </si>
  <si>
    <t>SMALL_DRAGON_BIO_ARMOR_11</t>
  </si>
  <si>
    <t>SMALL_DRAGON_BIO_ARMOR_12</t>
  </si>
  <si>
    <t>SMALL_DRAGON_BIO_ARMOR_13</t>
  </si>
  <si>
    <t>SMALL_DRAGON_BIO_ARMOR_14</t>
  </si>
  <si>
    <t>SMALL_DRAGON_BIO_ARMOR_15</t>
  </si>
  <si>
    <t>SMALL_DRAGON_BIO_ARMOR_16</t>
  </si>
  <si>
    <t>SMALL_DRAGON_BIO_ARMOR_17</t>
  </si>
  <si>
    <t>SMALL_DRAGON_BIO_ARMOR_18</t>
  </si>
  <si>
    <t>SMALL_DRAGON_BIO_ARMOR_19</t>
  </si>
  <si>
    <t>SMALL_DRAGON_BIO_ARMOR_20</t>
  </si>
  <si>
    <t>SMALL_DRAGON_BIO_ARMOR_21</t>
  </si>
  <si>
    <t>SMALL_DRAGON_BIO_ARMOR_22</t>
  </si>
  <si>
    <t>SMALL_DRAGON_BIO_ARMOR_23</t>
  </si>
  <si>
    <t>SMALL_DRAGON_BIO_ARMOR_24</t>
  </si>
  <si>
    <t>SMALL_DRAGON_BIO_ARMOR_25</t>
  </si>
  <si>
    <t>食物花费</t>
    <phoneticPr fontId="1" type="noConversion"/>
  </si>
  <si>
    <t>LARGE_DRAGON_BIO_ARMOR_2</t>
    <phoneticPr fontId="1" type="noConversion"/>
  </si>
  <si>
    <t>MEDIUM_DRAGON_BIO_ARMOR_2</t>
    <phoneticPr fontId="1" type="noConversion"/>
  </si>
  <si>
    <t>MEDIUM_DRAGON_BIO_ARMOR_3</t>
  </si>
  <si>
    <t>MEDIUM_DRAGON_BIO_ARMOR_4</t>
  </si>
  <si>
    <t>MEDIUM_DRAGON_BIO_ARMOR_5</t>
  </si>
  <si>
    <t>MEDIUM_DRAGON_BIO_ARMOR_6</t>
  </si>
  <si>
    <t>MEDIUM_DRAGON_BIO_ARMOR_7</t>
  </si>
  <si>
    <t>MEDIUM_DRAGON_BIO_ARMOR_8</t>
  </si>
  <si>
    <t>MEDIUM_DRAGON_BIO_ARMOR_9</t>
  </si>
  <si>
    <t>MEDIUM_DRAGON_BIO_ARMOR_10</t>
  </si>
  <si>
    <t>MEDIUM_DRAGON_BIO_ARMOR_11</t>
  </si>
  <si>
    <t>MEDIUM_DRAGON_BIO_ARMOR_12</t>
  </si>
  <si>
    <t>MEDIUM_DRAGON_BIO_ARMOR_13</t>
  </si>
  <si>
    <t>MEDIUM_DRAGON_BIO_ARMOR_14</t>
  </si>
  <si>
    <t>MEDIUM_DRAGON_BIO_ARMOR_15</t>
  </si>
  <si>
    <t>MEDIUM_DRAGON_BIO_ARMOR_16</t>
  </si>
  <si>
    <t>MEDIUM_DRAGON_BIO_ARMOR_17</t>
  </si>
  <si>
    <t>MEDIUM_DRAGON_BIO_ARMOR_18</t>
  </si>
  <si>
    <t>MEDIUM_DRAGON_BIO_ARMOR_19</t>
  </si>
  <si>
    <t>MEDIUM_DRAGON_BIO_ARMOR_20</t>
  </si>
  <si>
    <t>MEDIUM_DRAGON_BIO_ARMOR_21</t>
  </si>
  <si>
    <t>MEDIUM_DRAGON_BIO_ARMOR_22</t>
  </si>
  <si>
    <t>MEDIUM_DRAGON_BIO_ARMOR_23</t>
  </si>
  <si>
    <t>MEDIUM_DRAGON_BIO_ARMOR_24</t>
  </si>
  <si>
    <t>MEDIUM_DRAGON_BIO_ARMOR_25</t>
  </si>
  <si>
    <t>LARGE_DRAGON_BIO_ARMOR_3</t>
  </si>
  <si>
    <t>LARGE_DRAGON_BIO_ARMOR_4</t>
  </si>
  <si>
    <t>LARGE_DRAGON_BIO_ARMOR_5</t>
  </si>
  <si>
    <t>LARGE_DRAGON_BIO_ARMOR_6</t>
  </si>
  <si>
    <t>LARGE_DRAGON_BIO_ARMOR_7</t>
  </si>
  <si>
    <t>LARGE_DRAGON_BIO_ARMOR_8</t>
  </si>
  <si>
    <t>LARGE_DRAGON_BIO_ARMOR_9</t>
  </si>
  <si>
    <t>LARGE_DRAGON_BIO_ARMOR_10</t>
  </si>
  <si>
    <t>LARGE_DRAGON_BIO_ARMOR_11</t>
  </si>
  <si>
    <t>LARGE_DRAGON_BIO_ARMOR_12</t>
  </si>
  <si>
    <t>LARGE_DRAGON_BIO_ARMOR_13</t>
  </si>
  <si>
    <t>LARGE_DRAGON_BIO_ARMOR_14</t>
  </si>
  <si>
    <t>LARGE_DRAGON_BIO_ARMOR_15</t>
  </si>
  <si>
    <t>LARGE_DRAGON_BIO_ARMOR_16</t>
  </si>
  <si>
    <t>LARGE_DRAGON_BIO_ARMOR_17</t>
  </si>
  <si>
    <t>LARGE_DRAGON_BIO_ARMOR_18</t>
  </si>
  <si>
    <t>LARGE_DRAGON_BIO_ARMOR_19</t>
  </si>
  <si>
    <t>LARGE_DRAGON_BIO_ARMOR_20</t>
  </si>
  <si>
    <t>LARGE_DRAGON_BIO_ARMOR_21</t>
  </si>
  <si>
    <t>LARGE_DRAGON_BIO_ARMOR_22</t>
  </si>
  <si>
    <t>LARGE_DRAGON_BIO_ARMOR_23</t>
  </si>
  <si>
    <t>LARGE_DRAGON_BIO_ARMOR_24</t>
  </si>
  <si>
    <t>LARGE_DRAGON_BIO_ARMOR_25</t>
  </si>
  <si>
    <t>bio_mod_armor_s2</t>
    <phoneticPr fontId="1" type="noConversion"/>
  </si>
  <si>
    <t>bio_mod_armor_s3</t>
  </si>
  <si>
    <t>bio_mod_armor_s4</t>
  </si>
  <si>
    <t>bio_mod_armor_s5</t>
  </si>
  <si>
    <t>bio_mod_armor_s6</t>
  </si>
  <si>
    <t>bio_mod_armor_s7</t>
  </si>
  <si>
    <t>bio_mod_armor_s8</t>
  </si>
  <si>
    <t>bio_mod_armor_s9</t>
  </si>
  <si>
    <t>bio_mod_armor_s10</t>
  </si>
  <si>
    <t>bio_mod_armor_s11</t>
  </si>
  <si>
    <t>bio_mod_armor_s12</t>
  </si>
  <si>
    <t>bio_mod_armor_s13</t>
  </si>
  <si>
    <t>bio_mod_armor_s14</t>
  </si>
  <si>
    <t>bio_mod_armor_s15</t>
  </si>
  <si>
    <t>bio_mod_armor_s16</t>
  </si>
  <si>
    <t>bio_mod_armor_s17</t>
  </si>
  <si>
    <t>bio_mod_armor_s18</t>
  </si>
  <si>
    <t>bio_mod_armor_s19</t>
  </si>
  <si>
    <t>bio_mod_armor_s20</t>
  </si>
  <si>
    <t>bio_mod_armor_s21</t>
  </si>
  <si>
    <t>bio_mod_armor_s22</t>
  </si>
  <si>
    <t>bio_mod_armor_s23</t>
  </si>
  <si>
    <t>bio_mod_armor_s24</t>
  </si>
  <si>
    <t>bio_mod_armor_s25</t>
  </si>
  <si>
    <t>bio_mod_hull_s2</t>
    <phoneticPr fontId="1" type="noConversion"/>
  </si>
  <si>
    <t>bio_mod_hull_l2</t>
    <phoneticPr fontId="1" type="noConversion"/>
  </si>
  <si>
    <t>bio_mod_hull_l3</t>
  </si>
  <si>
    <t>bio_mod_hull_l4</t>
  </si>
  <si>
    <t>bio_mod_hull_l5</t>
  </si>
  <si>
    <t>bio_mod_hull_l6</t>
  </si>
  <si>
    <t>bio_mod_hull_l7</t>
  </si>
  <si>
    <t>bio_mod_hull_l8</t>
  </si>
  <si>
    <t>bio_mod_hull_l9</t>
  </si>
  <si>
    <t>bio_mod_hull_l10</t>
  </si>
  <si>
    <t>bio_mod_hull_l11</t>
  </si>
  <si>
    <t>bio_mod_hull_l12</t>
  </si>
  <si>
    <t>bio_mod_hull_l13</t>
  </si>
  <si>
    <t>bio_mod_hull_l14</t>
  </si>
  <si>
    <t>bio_mod_hull_l15</t>
  </si>
  <si>
    <t>bio_mod_hull_l16</t>
  </si>
  <si>
    <t>bio_mod_hull_l17</t>
  </si>
  <si>
    <t>bio_mod_hull_l18</t>
  </si>
  <si>
    <t>bio_mod_hull_l19</t>
  </si>
  <si>
    <t>bio_mod_hull_l20</t>
  </si>
  <si>
    <t>bio_mod_hull_l21</t>
  </si>
  <si>
    <t>bio_mod_hull_l22</t>
  </si>
  <si>
    <t>bio_mod_hull_l23</t>
  </si>
  <si>
    <t>bio_mod_hull_l24</t>
  </si>
  <si>
    <t>bio_mod_hull_l25</t>
  </si>
  <si>
    <t>bio_mod_hull_m2</t>
    <phoneticPr fontId="1" type="noConversion"/>
  </si>
  <si>
    <t>bio_mod_hull_m3</t>
  </si>
  <si>
    <t>bio_mod_hull_m4</t>
  </si>
  <si>
    <t>bio_mod_hull_m5</t>
  </si>
  <si>
    <t>bio_mod_hull_m6</t>
  </si>
  <si>
    <t>bio_mod_hull_m7</t>
  </si>
  <si>
    <t>bio_mod_hull_m8</t>
  </si>
  <si>
    <t>bio_mod_hull_m9</t>
  </si>
  <si>
    <t>bio_mod_hull_m10</t>
  </si>
  <si>
    <t>bio_mod_hull_m11</t>
  </si>
  <si>
    <t>bio_mod_hull_m12</t>
  </si>
  <si>
    <t>bio_mod_hull_m13</t>
  </si>
  <si>
    <t>bio_mod_hull_m14</t>
  </si>
  <si>
    <t>bio_mod_hull_m15</t>
  </si>
  <si>
    <t>bio_mod_hull_m16</t>
  </si>
  <si>
    <t>bio_mod_hull_m17</t>
  </si>
  <si>
    <t>bio_mod_hull_m18</t>
  </si>
  <si>
    <t>bio_mod_hull_m19</t>
  </si>
  <si>
    <t>bio_mod_hull_m20</t>
  </si>
  <si>
    <t>bio_mod_hull_m21</t>
  </si>
  <si>
    <t>bio_mod_hull_m22</t>
  </si>
  <si>
    <t>bio_mod_hull_m23</t>
  </si>
  <si>
    <t>bio_mod_hull_m24</t>
  </si>
  <si>
    <t>bio_mod_hull_m25</t>
  </si>
  <si>
    <t>bio_mod_hull_s3</t>
  </si>
  <si>
    <t>bio_mod_hull_s4</t>
  </si>
  <si>
    <t>bio_mod_hull_s5</t>
  </si>
  <si>
    <t>bio_mod_hull_s6</t>
  </si>
  <si>
    <t>bio_mod_hull_s7</t>
  </si>
  <si>
    <t>bio_mod_hull_s8</t>
  </si>
  <si>
    <t>bio_mod_hull_s9</t>
  </si>
  <si>
    <t>bio_mod_hull_s10</t>
  </si>
  <si>
    <t>bio_mod_hull_s11</t>
  </si>
  <si>
    <t>bio_mod_hull_s12</t>
  </si>
  <si>
    <t>bio_mod_hull_s13</t>
  </si>
  <si>
    <t>bio_mod_hull_s14</t>
  </si>
  <si>
    <t>bio_mod_hull_s15</t>
  </si>
  <si>
    <t>bio_mod_hull_s16</t>
  </si>
  <si>
    <t>bio_mod_hull_s17</t>
  </si>
  <si>
    <t>bio_mod_hull_s18</t>
  </si>
  <si>
    <t>bio_mod_hull_s19</t>
  </si>
  <si>
    <t>bio_mod_hull_s20</t>
  </si>
  <si>
    <t>bio_mod_hull_s21</t>
  </si>
  <si>
    <t>bio_mod_hull_s22</t>
  </si>
  <si>
    <t>bio_mod_hull_s23</t>
  </si>
  <si>
    <t>bio_mod_hull_s24</t>
  </si>
  <si>
    <t>bio_mod_hull_s25</t>
  </si>
  <si>
    <t>bio_mod_armor_m2</t>
    <phoneticPr fontId="1" type="noConversion"/>
  </si>
  <si>
    <t>bio_mod_armor_m3</t>
  </si>
  <si>
    <t>bio_mod_armor_m4</t>
  </si>
  <si>
    <t>bio_mod_armor_m5</t>
  </si>
  <si>
    <t>bio_mod_armor_m6</t>
  </si>
  <si>
    <t>bio_mod_armor_m7</t>
  </si>
  <si>
    <t>bio_mod_armor_m8</t>
  </si>
  <si>
    <t>bio_mod_armor_m9</t>
  </si>
  <si>
    <t>bio_mod_armor_m10</t>
  </si>
  <si>
    <t>bio_mod_armor_m11</t>
  </si>
  <si>
    <t>bio_mod_armor_m12</t>
  </si>
  <si>
    <t>bio_mod_armor_m13</t>
  </si>
  <si>
    <t>bio_mod_armor_m14</t>
  </si>
  <si>
    <t>bio_mod_armor_m15</t>
  </si>
  <si>
    <t>bio_mod_armor_m16</t>
  </si>
  <si>
    <t>bio_mod_armor_m17</t>
  </si>
  <si>
    <t>bio_mod_armor_m18</t>
  </si>
  <si>
    <t>bio_mod_armor_m19</t>
  </si>
  <si>
    <t>bio_mod_armor_m20</t>
  </si>
  <si>
    <t>bio_mod_armor_m21</t>
  </si>
  <si>
    <t>bio_mod_armor_m22</t>
  </si>
  <si>
    <t>bio_mod_armor_m23</t>
  </si>
  <si>
    <t>bio_mod_armor_m24</t>
  </si>
  <si>
    <t>bio_mod_armor_m25</t>
  </si>
  <si>
    <t>bio_mod_armor_l2</t>
    <phoneticPr fontId="1" type="noConversion"/>
  </si>
  <si>
    <t>bio_mod_armor_l3</t>
  </si>
  <si>
    <t>bio_mod_armor_l4</t>
  </si>
  <si>
    <t>bio_mod_armor_l5</t>
  </si>
  <si>
    <t>bio_mod_armor_l6</t>
  </si>
  <si>
    <t>bio_mod_armor_l7</t>
  </si>
  <si>
    <t>bio_mod_armor_l8</t>
  </si>
  <si>
    <t>bio_mod_armor_l9</t>
  </si>
  <si>
    <t>bio_mod_armor_l10</t>
  </si>
  <si>
    <t>bio_mod_armor_l11</t>
  </si>
  <si>
    <t>bio_mod_armor_l12</t>
  </si>
  <si>
    <t>bio_mod_armor_l13</t>
  </si>
  <si>
    <t>bio_mod_armor_l14</t>
  </si>
  <si>
    <t>bio_mod_armor_l15</t>
  </si>
  <si>
    <t>bio_mod_armor_l16</t>
  </si>
  <si>
    <t>bio_mod_armor_l17</t>
  </si>
  <si>
    <t>bio_mod_armor_l18</t>
  </si>
  <si>
    <t>bio_mod_armor_l19</t>
  </si>
  <si>
    <t>bio_mod_armor_l20</t>
  </si>
  <si>
    <t>bio_mod_armor_l21</t>
  </si>
  <si>
    <t>bio_mod_armor_l22</t>
  </si>
  <si>
    <t>bio_mod_armor_l23</t>
  </si>
  <si>
    <t>bio_mod_armor_l24</t>
  </si>
  <si>
    <t>bio_mod_armor_l25</t>
  </si>
  <si>
    <t>bio_mod_armor_regen_l2</t>
    <phoneticPr fontId="1" type="noConversion"/>
  </si>
  <si>
    <t>bio_mod_armor_regen_l3</t>
  </si>
  <si>
    <t>bio_mod_armor_regen_l4</t>
  </si>
  <si>
    <t>bio_mod_armor_regen_l5</t>
  </si>
  <si>
    <t>bio_mod_armor_regen_l6</t>
  </si>
  <si>
    <t>bio_mod_armor_regen_l7</t>
  </si>
  <si>
    <t>bio_mod_armor_regen_l8</t>
  </si>
  <si>
    <t>bio_mod_armor_regen_l9</t>
  </si>
  <si>
    <t>bio_mod_armor_regen_l10</t>
  </si>
  <si>
    <t>bio_mod_armor_regen_l11</t>
  </si>
  <si>
    <t>bio_mod_armor_regen_l12</t>
  </si>
  <si>
    <t>bio_mod_armor_regen_l13</t>
  </si>
  <si>
    <t>bio_mod_armor_regen_l14</t>
  </si>
  <si>
    <t>bio_mod_armor_regen_l15</t>
  </si>
  <si>
    <t>bio_mod_armor_regen_l16</t>
  </si>
  <si>
    <t>bio_mod_armor_regen_l17</t>
  </si>
  <si>
    <t>bio_mod_armor_regen_l18</t>
  </si>
  <si>
    <t>bio_mod_armor_regen_l19</t>
  </si>
  <si>
    <t>bio_mod_armor_regen_l20</t>
  </si>
  <si>
    <t>bio_mod_armor_regen_l21</t>
  </si>
  <si>
    <t>bio_mod_armor_regen_l22</t>
  </si>
  <si>
    <t>bio_mod_armor_regen_l23</t>
  </si>
  <si>
    <t>bio_mod_armor_regen_l24</t>
  </si>
  <si>
    <t>bio_mod_armor_regen_l25</t>
  </si>
  <si>
    <t>bio_mod_armor_regen_m2</t>
    <phoneticPr fontId="1" type="noConversion"/>
  </si>
  <si>
    <t>bio_mod_armor_regen_m3</t>
  </si>
  <si>
    <t>bio_mod_armor_regen_m4</t>
  </si>
  <si>
    <t>bio_mod_armor_regen_m5</t>
  </si>
  <si>
    <t>bio_mod_armor_regen_m6</t>
  </si>
  <si>
    <t>bio_mod_armor_regen_m7</t>
  </si>
  <si>
    <t>bio_mod_armor_regen_m8</t>
  </si>
  <si>
    <t>bio_mod_armor_regen_m9</t>
  </si>
  <si>
    <t>bio_mod_armor_regen_m10</t>
  </si>
  <si>
    <t>bio_mod_armor_regen_m11</t>
  </si>
  <si>
    <t>bio_mod_armor_regen_m12</t>
  </si>
  <si>
    <t>bio_mod_armor_regen_m13</t>
  </si>
  <si>
    <t>bio_mod_armor_regen_m14</t>
  </si>
  <si>
    <t>bio_mod_armor_regen_m15</t>
  </si>
  <si>
    <t>bio_mod_armor_regen_m16</t>
  </si>
  <si>
    <t>bio_mod_armor_regen_m17</t>
  </si>
  <si>
    <t>bio_mod_armor_regen_m18</t>
  </si>
  <si>
    <t>bio_mod_armor_regen_m19</t>
  </si>
  <si>
    <t>bio_mod_armor_regen_m20</t>
  </si>
  <si>
    <t>bio_mod_armor_regen_m21</t>
  </si>
  <si>
    <t>bio_mod_armor_regen_m22</t>
  </si>
  <si>
    <t>bio_mod_armor_regen_m23</t>
  </si>
  <si>
    <t>bio_mod_armor_regen_m24</t>
  </si>
  <si>
    <t>bio_mod_armor_regen_m25</t>
  </si>
  <si>
    <t>bio_mod_armor_regen_s2</t>
    <phoneticPr fontId="1" type="noConversion"/>
  </si>
  <si>
    <t>bio_mod_armor_regen_s3</t>
  </si>
  <si>
    <t>bio_mod_armor_regen_s4</t>
  </si>
  <si>
    <t>bio_mod_armor_regen_s5</t>
  </si>
  <si>
    <t>bio_mod_armor_regen_s6</t>
  </si>
  <si>
    <t>bio_mod_armor_regen_s7</t>
  </si>
  <si>
    <t>bio_mod_armor_regen_s8</t>
  </si>
  <si>
    <t>bio_mod_armor_regen_s9</t>
  </si>
  <si>
    <t>bio_mod_armor_regen_s10</t>
  </si>
  <si>
    <t>bio_mod_armor_regen_s11</t>
  </si>
  <si>
    <t>bio_mod_armor_regen_s12</t>
  </si>
  <si>
    <t>bio_mod_armor_regen_s13</t>
  </si>
  <si>
    <t>bio_mod_armor_regen_s14</t>
  </si>
  <si>
    <t>bio_mod_armor_regen_s15</t>
  </si>
  <si>
    <t>bio_mod_armor_regen_s16</t>
  </si>
  <si>
    <t>bio_mod_armor_regen_s17</t>
  </si>
  <si>
    <t>bio_mod_armor_regen_s18</t>
  </si>
  <si>
    <t>bio_mod_armor_regen_s19</t>
  </si>
  <si>
    <t>bio_mod_armor_regen_s20</t>
  </si>
  <si>
    <t>bio_mod_armor_regen_s21</t>
  </si>
  <si>
    <t>bio_mod_armor_regen_s22</t>
  </si>
  <si>
    <t>bio_mod_armor_regen_s23</t>
  </si>
  <si>
    <t>bio_mod_armor_regen_s24</t>
  </si>
  <si>
    <t>bio_mod_armor_regen_s25</t>
  </si>
  <si>
    <t>armor_mod_cost_s3</t>
  </si>
  <si>
    <t>armor_mod_cost_s4</t>
  </si>
  <si>
    <t>armor_mod_cost_s5</t>
  </si>
  <si>
    <t>armor_mod_cost_s6</t>
  </si>
  <si>
    <t>armor_mod_cost_s7</t>
  </si>
  <si>
    <t>armor_mod_cost_s8</t>
  </si>
  <si>
    <t>armor_mod_cost_s9</t>
  </si>
  <si>
    <t>armor_mod_cost_s10</t>
  </si>
  <si>
    <t>armor_mod_cost_s11</t>
  </si>
  <si>
    <t>armor_mod_cost_s12</t>
  </si>
  <si>
    <t>armor_mod_cost_s13</t>
  </si>
  <si>
    <t>armor_mod_cost_s14</t>
  </si>
  <si>
    <t>armor_mod_cost_s15</t>
  </si>
  <si>
    <t>armor_mod_cost_s16</t>
  </si>
  <si>
    <t>armor_mod_cost_s17</t>
  </si>
  <si>
    <t>armor_mod_cost_s18</t>
  </si>
  <si>
    <t>armor_mod_cost_s19</t>
  </si>
  <si>
    <t>armor_mod_cost_s20</t>
  </si>
  <si>
    <t>armor_mod_cost_s21</t>
  </si>
  <si>
    <t>armor_mod_cost_s22</t>
  </si>
  <si>
    <t>armor_mod_cost_s23</t>
  </si>
  <si>
    <t>armor_mod_cost_s24</t>
  </si>
  <si>
    <t>armor_mod_cost_m3</t>
  </si>
  <si>
    <t>armor_mod_cost_m4</t>
  </si>
  <si>
    <t>armor_mod_cost_m5</t>
  </si>
  <si>
    <t>armor_mod_cost_m6</t>
  </si>
  <si>
    <t>armor_mod_cost_m7</t>
  </si>
  <si>
    <t>armor_mod_cost_m8</t>
  </si>
  <si>
    <t>armor_mod_cost_m9</t>
  </si>
  <si>
    <t>armor_mod_cost_m10</t>
  </si>
  <si>
    <t>armor_mod_cost_m11</t>
  </si>
  <si>
    <t>armor_mod_cost_m12</t>
  </si>
  <si>
    <t>armor_mod_cost_m13</t>
  </si>
  <si>
    <t>armor_mod_cost_m14</t>
  </si>
  <si>
    <t>armor_mod_cost_m15</t>
  </si>
  <si>
    <t>armor_mod_cost_m16</t>
  </si>
  <si>
    <t>armor_mod_cost_m17</t>
  </si>
  <si>
    <t>armor_mod_cost_m18</t>
  </si>
  <si>
    <t>armor_mod_cost_m19</t>
  </si>
  <si>
    <t>armor_mod_cost_m20</t>
  </si>
  <si>
    <t>armor_mod_cost_m21</t>
  </si>
  <si>
    <t>armor_mod_cost_m22</t>
  </si>
  <si>
    <t>armor_mod_cost_m23</t>
  </si>
  <si>
    <t>armor_mod_cost_m24</t>
  </si>
  <si>
    <t>armor_mod_cost_m2</t>
    <phoneticPr fontId="1" type="noConversion"/>
  </si>
  <si>
    <t>armor_mod_cost_m25</t>
  </si>
  <si>
    <t>armor_mod_cost_s2</t>
    <phoneticPr fontId="1" type="noConversion"/>
  </si>
  <si>
    <t>armor_mod_cost_s25</t>
  </si>
  <si>
    <t>armor_mod_cost_l2</t>
    <phoneticPr fontId="1" type="noConversion"/>
  </si>
  <si>
    <t>armor_mod_cost_l3</t>
  </si>
  <si>
    <t>armor_mod_cost_l4</t>
  </si>
  <si>
    <t>armor_mod_cost_l5</t>
  </si>
  <si>
    <t>armor_mod_cost_l6</t>
  </si>
  <si>
    <t>armor_mod_cost_l7</t>
  </si>
  <si>
    <t>armor_mod_cost_l8</t>
  </si>
  <si>
    <t>armor_mod_cost_l9</t>
  </si>
  <si>
    <t>armor_mod_cost_l10</t>
  </si>
  <si>
    <t>armor_mod_cost_l11</t>
  </si>
  <si>
    <t>armor_mod_cost_l12</t>
  </si>
  <si>
    <t>armor_mod_cost_l13</t>
  </si>
  <si>
    <t>armor_mod_cost_l14</t>
  </si>
  <si>
    <t>armor_mod_cost_l15</t>
  </si>
  <si>
    <t>armor_mod_cost_l16</t>
  </si>
  <si>
    <t>armor_mod_cost_l17</t>
  </si>
  <si>
    <t>armor_mod_cost_l18</t>
  </si>
  <si>
    <t>armor_mod_cost_l19</t>
  </si>
  <si>
    <t>armor_mod_cost_l20</t>
  </si>
  <si>
    <t>armor_mod_cost_l21</t>
  </si>
  <si>
    <t>armor_mod_cost_l22</t>
  </si>
  <si>
    <t>armor_mod_cost_l23</t>
  </si>
  <si>
    <t>armor_mod_cost_l24</t>
  </si>
  <si>
    <t>armor_mod_cost_l25</t>
  </si>
  <si>
    <t>shield_mod_regen_s2</t>
    <phoneticPr fontId="1" type="noConversion"/>
  </si>
  <si>
    <t>shield_mod_regen_s3</t>
  </si>
  <si>
    <t>shield_mod_regen_s4</t>
  </si>
  <si>
    <t>shield_mod_regen_s5</t>
  </si>
  <si>
    <t>shield_mod_regen_s6</t>
  </si>
  <si>
    <t>shield_mod_regen_s7</t>
  </si>
  <si>
    <t>shield_mod_regen_s8</t>
  </si>
  <si>
    <t>shield_mod_regen_s9</t>
  </si>
  <si>
    <t>shield_mod_regen_s10</t>
  </si>
  <si>
    <t>shield_mod_regen_s11</t>
  </si>
  <si>
    <t>shield_mod_regen_s12</t>
  </si>
  <si>
    <t>shield_mod_regen_s13</t>
  </si>
  <si>
    <t>shield_mod_regen_s14</t>
  </si>
  <si>
    <t>shield_mod_regen_s15</t>
  </si>
  <si>
    <t>shield_mod_regen_s16</t>
  </si>
  <si>
    <t>shield_mod_regen_s17</t>
  </si>
  <si>
    <t>shield_mod_regen_s18</t>
  </si>
  <si>
    <t>shield_mod_regen_s19</t>
  </si>
  <si>
    <t>shield_mod_regen_s20</t>
  </si>
  <si>
    <t>shield_mod_regen_s21</t>
  </si>
  <si>
    <t>shield_mod_regen_s22</t>
  </si>
  <si>
    <t>shield_mod_regen_s23</t>
  </si>
  <si>
    <t>shield_mod_regen_s24</t>
  </si>
  <si>
    <t>shield_mod_regen_s25</t>
  </si>
  <si>
    <t>shield_mod_s2_zro_cost</t>
    <phoneticPr fontId="1" type="noConversion"/>
  </si>
  <si>
    <t>shield_mod_s3_zro_cost</t>
  </si>
  <si>
    <t>shield_mod_s4_zro_cost</t>
  </si>
  <si>
    <t>shield_mod_s5_zro_cost</t>
  </si>
  <si>
    <t>shield_mod_s6_zro_cost</t>
  </si>
  <si>
    <t>shield_mod_s7_zro_cost</t>
  </si>
  <si>
    <t>shield_mod_s8_zro_cost</t>
  </si>
  <si>
    <t>shield_mod_s9_zro_cost</t>
  </si>
  <si>
    <t>shield_mod_s10_zro_cost</t>
  </si>
  <si>
    <t>shield_mod_s11_zro_cost</t>
  </si>
  <si>
    <t>shield_mod_s12_zro_cost</t>
  </si>
  <si>
    <t>shield_mod_s13_zro_cost</t>
  </si>
  <si>
    <t>shield_mod_s14_zro_cost</t>
  </si>
  <si>
    <t>shield_mod_s15_zro_cost</t>
  </si>
  <si>
    <t>shield_mod_s16_zro_cost</t>
  </si>
  <si>
    <t>shield_mod_s17_zro_cost</t>
  </si>
  <si>
    <t>shield_mod_s18_zro_cost</t>
  </si>
  <si>
    <t>shield_mod_s19_zro_cost</t>
  </si>
  <si>
    <t>shield_mod_s20_zro_cost</t>
  </si>
  <si>
    <t>shield_mod_s21_zro_cost</t>
  </si>
  <si>
    <t>shield_mod_s22_zro_cost</t>
  </si>
  <si>
    <t>shield_mod_s23_zro_cost</t>
  </si>
  <si>
    <t>shield_mod_s24_zro_cost</t>
  </si>
  <si>
    <t>shield_mod_s25_zro_cost</t>
  </si>
  <si>
    <t>shield_mod_s2_alloys_cost</t>
    <phoneticPr fontId="1" type="noConversion"/>
  </si>
  <si>
    <t>shield_mod_s3_alloys_cost</t>
  </si>
  <si>
    <t>shield_mod_s4_alloys_cost</t>
  </si>
  <si>
    <t>shield_mod_s5_alloys_cost</t>
  </si>
  <si>
    <t>shield_mod_s6_alloys_cost</t>
  </si>
  <si>
    <t>shield_mod_s7_alloys_cost</t>
  </si>
  <si>
    <t>shield_mod_s8_alloys_cost</t>
  </si>
  <si>
    <t>shield_mod_s9_alloys_cost</t>
  </si>
  <si>
    <t>shield_mod_s10_alloys_cost</t>
  </si>
  <si>
    <t>shield_mod_s11_alloys_cost</t>
  </si>
  <si>
    <t>shield_mod_s12_alloys_cost</t>
  </si>
  <si>
    <t>shield_mod_s13_alloys_cost</t>
  </si>
  <si>
    <t>shield_mod_s14_alloys_cost</t>
  </si>
  <si>
    <t>shield_mod_s15_alloys_cost</t>
  </si>
  <si>
    <t>shield_mod_s16_alloys_cost</t>
  </si>
  <si>
    <t>shield_mod_s17_alloys_cost</t>
  </si>
  <si>
    <t>shield_mod_s18_alloys_cost</t>
  </si>
  <si>
    <t>shield_mod_s19_alloys_cost</t>
  </si>
  <si>
    <t>shield_mod_s20_alloys_cost</t>
  </si>
  <si>
    <t>shield_mod_s21_alloys_cost</t>
  </si>
  <si>
    <t>shield_mod_s22_alloys_cost</t>
  </si>
  <si>
    <t>shield_mod_s23_alloys_cost</t>
  </si>
  <si>
    <t>shield_mod_s24_alloys_cost</t>
  </si>
  <si>
    <t>shield_mod_s25_alloys_cost</t>
  </si>
  <si>
    <t>shield_mod_s2</t>
    <phoneticPr fontId="1" type="noConversion"/>
  </si>
  <si>
    <t>shield_mod_s3</t>
  </si>
  <si>
    <t>shield_mod_s4</t>
  </si>
  <si>
    <t>shield_mod_s5</t>
  </si>
  <si>
    <t>shield_mod_s6</t>
  </si>
  <si>
    <t>shield_mod_s7</t>
  </si>
  <si>
    <t>shield_mod_s8</t>
  </si>
  <si>
    <t>shield_mod_s9</t>
  </si>
  <si>
    <t>shield_mod_s10</t>
  </si>
  <si>
    <t>shield_mod_s11</t>
  </si>
  <si>
    <t>shield_mod_s12</t>
  </si>
  <si>
    <t>shield_mod_s13</t>
  </si>
  <si>
    <t>shield_mod_s14</t>
  </si>
  <si>
    <t>shield_mod_s15</t>
  </si>
  <si>
    <t>shield_mod_s16</t>
  </si>
  <si>
    <t>shield_mod_s17</t>
  </si>
  <si>
    <t>shield_mod_s18</t>
  </si>
  <si>
    <t>shield_mod_s19</t>
  </si>
  <si>
    <t>shield_mod_s20</t>
  </si>
  <si>
    <t>shield_mod_s21</t>
  </si>
  <si>
    <t>shield_mod_s22</t>
  </si>
  <si>
    <t>shield_mod_s23</t>
  </si>
  <si>
    <t>shield_mod_s24</t>
  </si>
  <si>
    <t>shield_mod_s25</t>
  </si>
  <si>
    <t>damage_mod_reduction_s2</t>
    <phoneticPr fontId="1" type="noConversion"/>
  </si>
  <si>
    <t>damage_mod_reduction_s3</t>
  </si>
  <si>
    <t>damage_mod_reduction_s4</t>
  </si>
  <si>
    <t>damage_mod_reduction_s5</t>
  </si>
  <si>
    <t>damage_mod_reduction_s6</t>
  </si>
  <si>
    <t>damage_mod_reduction_s7</t>
  </si>
  <si>
    <t>damage_mod_reduction_s8</t>
  </si>
  <si>
    <t>damage_mod_reduction_s9</t>
  </si>
  <si>
    <t>damage_mod_reduction_s10</t>
  </si>
  <si>
    <t>damage_mod_reduction_s11</t>
  </si>
  <si>
    <t>damage_mod_reduction_s12</t>
  </si>
  <si>
    <t>damage_mod_reduction_s13</t>
  </si>
  <si>
    <t>damage_mod_reduction_s14</t>
  </si>
  <si>
    <t>damage_mod_reduction_s15</t>
  </si>
  <si>
    <t>damage_mod_reduction_s16</t>
  </si>
  <si>
    <t>damage_mod_reduction_s17</t>
  </si>
  <si>
    <t>damage_mod_reduction_s18</t>
  </si>
  <si>
    <t>damage_mod_reduction_s19</t>
  </si>
  <si>
    <t>damage_mod_reduction_s20</t>
  </si>
  <si>
    <t>damage_mod_reduction_s21</t>
  </si>
  <si>
    <t>damage_mod_reduction_s22</t>
  </si>
  <si>
    <t>damage_mod_reduction_s23</t>
  </si>
  <si>
    <t>damage_mod_reduction_s24</t>
  </si>
  <si>
    <t>damage_mod_reduction_s25</t>
  </si>
  <si>
    <t>hardening_mod_2</t>
    <phoneticPr fontId="1" type="noConversion"/>
  </si>
  <si>
    <t>hardening_mod_3</t>
  </si>
  <si>
    <t>hardening_mod_4</t>
  </si>
  <si>
    <t>hardening_mod_5</t>
  </si>
  <si>
    <t>hardening_mod_6</t>
  </si>
  <si>
    <t>hardening_mod_7</t>
  </si>
  <si>
    <t>hardening_mod_8</t>
  </si>
  <si>
    <t>hardening_mod_9</t>
  </si>
  <si>
    <t>hardening_mod_10</t>
  </si>
  <si>
    <t>hardening_mod_11</t>
  </si>
  <si>
    <t>hardening_mod_12</t>
  </si>
  <si>
    <t>hardening_mod_13</t>
  </si>
  <si>
    <t>hardening_mod_14</t>
  </si>
  <si>
    <t>hardening_mod_15</t>
  </si>
  <si>
    <t>hardening_mod_16</t>
  </si>
  <si>
    <t>hardening_mod_17</t>
  </si>
  <si>
    <t>hardening_mod_18</t>
  </si>
  <si>
    <t>hardening_mod_19</t>
  </si>
  <si>
    <t>hardening_mod_20</t>
  </si>
  <si>
    <t>hardening_mod_21</t>
  </si>
  <si>
    <t>hardening_mod_22</t>
  </si>
  <si>
    <t>hardening_mod_23</t>
  </si>
  <si>
    <t>hardening_mod_24</t>
  </si>
  <si>
    <t>hardening_mod_25</t>
  </si>
  <si>
    <t>shield_mod_m2</t>
    <phoneticPr fontId="1" type="noConversion"/>
  </si>
  <si>
    <t>shield_mod_m3</t>
  </si>
  <si>
    <t>shield_mod_m4</t>
  </si>
  <si>
    <t>shield_mod_m5</t>
  </si>
  <si>
    <t>shield_mod_m6</t>
  </si>
  <si>
    <t>shield_mod_m7</t>
  </si>
  <si>
    <t>shield_mod_m8</t>
  </si>
  <si>
    <t>shield_mod_m9</t>
  </si>
  <si>
    <t>shield_mod_m10</t>
  </si>
  <si>
    <t>shield_mod_m11</t>
  </si>
  <si>
    <t>shield_mod_m12</t>
  </si>
  <si>
    <t>shield_mod_m13</t>
  </si>
  <si>
    <t>shield_mod_m14</t>
  </si>
  <si>
    <t>shield_mod_m15</t>
  </si>
  <si>
    <t>shield_mod_m16</t>
  </si>
  <si>
    <t>shield_mod_m17</t>
  </si>
  <si>
    <t>shield_mod_m18</t>
  </si>
  <si>
    <t>shield_mod_m19</t>
  </si>
  <si>
    <t>shield_mod_m20</t>
  </si>
  <si>
    <t>shield_mod_m21</t>
  </si>
  <si>
    <t>shield_mod_m22</t>
  </si>
  <si>
    <t>shield_mod_m23</t>
  </si>
  <si>
    <t>shield_mod_m24</t>
  </si>
  <si>
    <t>shield_mod_m25</t>
  </si>
  <si>
    <t>shield_mod_l2</t>
    <phoneticPr fontId="1" type="noConversion"/>
  </si>
  <si>
    <t>shield_mod_l3</t>
  </si>
  <si>
    <t>shield_mod_l4</t>
  </si>
  <si>
    <t>shield_mod_l5</t>
  </si>
  <si>
    <t>shield_mod_l6</t>
  </si>
  <si>
    <t>shield_mod_l7</t>
  </si>
  <si>
    <t>shield_mod_l8</t>
  </si>
  <si>
    <t>shield_mod_l9</t>
  </si>
  <si>
    <t>shield_mod_l10</t>
  </si>
  <si>
    <t>shield_mod_l11</t>
  </si>
  <si>
    <t>shield_mod_l12</t>
  </si>
  <si>
    <t>shield_mod_l13</t>
  </si>
  <si>
    <t>shield_mod_l14</t>
  </si>
  <si>
    <t>shield_mod_l15</t>
  </si>
  <si>
    <t>shield_mod_l16</t>
  </si>
  <si>
    <t>shield_mod_l17</t>
  </si>
  <si>
    <t>shield_mod_l18</t>
  </si>
  <si>
    <t>shield_mod_l19</t>
  </si>
  <si>
    <t>shield_mod_l20</t>
  </si>
  <si>
    <t>shield_mod_l21</t>
  </si>
  <si>
    <t>shield_mod_l22</t>
  </si>
  <si>
    <t>shield_mod_l23</t>
  </si>
  <si>
    <t>shield_mod_l24</t>
  </si>
  <si>
    <t>shield_mod_l25</t>
  </si>
  <si>
    <t>damage_mod_reduction_m2</t>
    <phoneticPr fontId="1" type="noConversion"/>
  </si>
  <si>
    <t>damage_mod_reduction_m3</t>
  </si>
  <si>
    <t>damage_mod_reduction_m4</t>
  </si>
  <si>
    <t>damage_mod_reduction_m5</t>
  </si>
  <si>
    <t>damage_mod_reduction_m6</t>
  </si>
  <si>
    <t>damage_mod_reduction_m7</t>
  </si>
  <si>
    <t>damage_mod_reduction_m8</t>
  </si>
  <si>
    <t>damage_mod_reduction_m9</t>
  </si>
  <si>
    <t>damage_mod_reduction_m10</t>
  </si>
  <si>
    <t>damage_mod_reduction_m11</t>
  </si>
  <si>
    <t>damage_mod_reduction_m12</t>
  </si>
  <si>
    <t>damage_mod_reduction_m13</t>
  </si>
  <si>
    <t>damage_mod_reduction_m14</t>
  </si>
  <si>
    <t>damage_mod_reduction_m15</t>
  </si>
  <si>
    <t>damage_mod_reduction_m16</t>
  </si>
  <si>
    <t>damage_mod_reduction_m17</t>
  </si>
  <si>
    <t>damage_mod_reduction_m18</t>
  </si>
  <si>
    <t>damage_mod_reduction_m19</t>
  </si>
  <si>
    <t>damage_mod_reduction_m20</t>
  </si>
  <si>
    <t>damage_mod_reduction_m21</t>
  </si>
  <si>
    <t>damage_mod_reduction_m22</t>
  </si>
  <si>
    <t>damage_mod_reduction_m23</t>
  </si>
  <si>
    <t>damage_mod_reduction_m24</t>
  </si>
  <si>
    <t>damage_mod_reduction_m25</t>
  </si>
  <si>
    <t>damage_mod_reduction_l2</t>
    <phoneticPr fontId="1" type="noConversion"/>
  </si>
  <si>
    <t>damage_mod_reduction_l3</t>
  </si>
  <si>
    <t>damage_mod_reduction_l4</t>
  </si>
  <si>
    <t>damage_mod_reduction_l5</t>
  </si>
  <si>
    <t>damage_mod_reduction_l6</t>
  </si>
  <si>
    <t>damage_mod_reduction_l7</t>
  </si>
  <si>
    <t>damage_mod_reduction_l8</t>
  </si>
  <si>
    <t>damage_mod_reduction_l9</t>
  </si>
  <si>
    <t>damage_mod_reduction_l10</t>
  </si>
  <si>
    <t>damage_mod_reduction_l11</t>
  </si>
  <si>
    <t>damage_mod_reduction_l12</t>
  </si>
  <si>
    <t>damage_mod_reduction_l13</t>
  </si>
  <si>
    <t>damage_mod_reduction_l14</t>
  </si>
  <si>
    <t>damage_mod_reduction_l15</t>
  </si>
  <si>
    <t>damage_mod_reduction_l16</t>
  </si>
  <si>
    <t>damage_mod_reduction_l17</t>
  </si>
  <si>
    <t>damage_mod_reduction_l18</t>
  </si>
  <si>
    <t>damage_mod_reduction_l19</t>
  </si>
  <si>
    <t>damage_mod_reduction_l20</t>
  </si>
  <si>
    <t>damage_mod_reduction_l21</t>
  </si>
  <si>
    <t>damage_mod_reduction_l22</t>
  </si>
  <si>
    <t>damage_mod_reduction_l23</t>
  </si>
  <si>
    <t>damage_mod_reduction_l24</t>
  </si>
  <si>
    <t>damage_mod_reduction_l25</t>
  </si>
  <si>
    <t>shield_mod_m2_alloys_cost</t>
    <phoneticPr fontId="1" type="noConversion"/>
  </si>
  <si>
    <t>shield_mod_m3_alloys_cost</t>
  </si>
  <si>
    <t>shield_mod_m4_alloys_cost</t>
  </si>
  <si>
    <t>shield_mod_m5_alloys_cost</t>
  </si>
  <si>
    <t>shield_mod_m6_alloys_cost</t>
  </si>
  <si>
    <t>shield_mod_m7_alloys_cost</t>
  </si>
  <si>
    <t>shield_mod_m8_alloys_cost</t>
  </si>
  <si>
    <t>shield_mod_m9_alloys_cost</t>
  </si>
  <si>
    <t>shield_mod_m10_alloys_cost</t>
  </si>
  <si>
    <t>shield_mod_m11_alloys_cost</t>
  </si>
  <si>
    <t>shield_mod_m12_alloys_cost</t>
  </si>
  <si>
    <t>shield_mod_m13_alloys_cost</t>
  </si>
  <si>
    <t>shield_mod_m14_alloys_cost</t>
  </si>
  <si>
    <t>shield_mod_m15_alloys_cost</t>
  </si>
  <si>
    <t>shield_mod_m16_alloys_cost</t>
  </si>
  <si>
    <t>shield_mod_m17_alloys_cost</t>
  </si>
  <si>
    <t>shield_mod_m18_alloys_cost</t>
  </si>
  <si>
    <t>shield_mod_m19_alloys_cost</t>
  </si>
  <si>
    <t>shield_mod_m20_alloys_cost</t>
  </si>
  <si>
    <t>shield_mod_m21_alloys_cost</t>
  </si>
  <si>
    <t>shield_mod_m22_alloys_cost</t>
  </si>
  <si>
    <t>shield_mod_m23_alloys_cost</t>
  </si>
  <si>
    <t>shield_mod_m24_alloys_cost</t>
  </si>
  <si>
    <t>shield_mod_m25_alloys_cost</t>
  </si>
  <si>
    <t>泽洛花费</t>
    <phoneticPr fontId="1" type="noConversion"/>
  </si>
  <si>
    <t>shield_mod_m2_zro_cost</t>
    <phoneticPr fontId="1" type="noConversion"/>
  </si>
  <si>
    <t>shield_mod_m3_zro_cost</t>
  </si>
  <si>
    <t>shield_mod_m4_zro_cost</t>
  </si>
  <si>
    <t>shield_mod_m5_zro_cost</t>
  </si>
  <si>
    <t>shield_mod_m6_zro_cost</t>
  </si>
  <si>
    <t>shield_mod_m7_zro_cost</t>
  </si>
  <si>
    <t>shield_mod_m8_zro_cost</t>
  </si>
  <si>
    <t>shield_mod_m9_zro_cost</t>
  </si>
  <si>
    <t>shield_mod_m10_zro_cost</t>
  </si>
  <si>
    <t>shield_mod_m11_zro_cost</t>
  </si>
  <si>
    <t>shield_mod_m12_zro_cost</t>
  </si>
  <si>
    <t>shield_mod_m13_zro_cost</t>
  </si>
  <si>
    <t>shield_mod_m14_zro_cost</t>
  </si>
  <si>
    <t>shield_mod_m15_zro_cost</t>
  </si>
  <si>
    <t>shield_mod_m16_zro_cost</t>
  </si>
  <si>
    <t>shield_mod_m17_zro_cost</t>
  </si>
  <si>
    <t>shield_mod_m18_zro_cost</t>
  </si>
  <si>
    <t>shield_mod_m19_zro_cost</t>
  </si>
  <si>
    <t>shield_mod_m20_zro_cost</t>
  </si>
  <si>
    <t>shield_mod_m21_zro_cost</t>
  </si>
  <si>
    <t>shield_mod_m22_zro_cost</t>
  </si>
  <si>
    <t>shield_mod_m23_zro_cost</t>
  </si>
  <si>
    <t>shield_mod_m24_zro_cost</t>
  </si>
  <si>
    <t>shield_mod_m25_zro_cost</t>
  </si>
  <si>
    <t>小型组件护盾船伤害减免</t>
    <phoneticPr fontId="1" type="noConversion"/>
  </si>
  <si>
    <t>数值</t>
    <phoneticPr fontId="1" type="noConversion"/>
  </si>
  <si>
    <t>尺寸</t>
    <phoneticPr fontId="1" type="noConversion"/>
  </si>
  <si>
    <t>小型</t>
  </si>
  <si>
    <t>中型</t>
    <phoneticPr fontId="1" type="noConversion"/>
  </si>
  <si>
    <t>大型</t>
    <phoneticPr fontId="1" type="noConversion"/>
  </si>
  <si>
    <t>通用</t>
    <phoneticPr fontId="1" type="noConversion"/>
  </si>
  <si>
    <t>shield_mod_regen_m2</t>
    <phoneticPr fontId="1" type="noConversion"/>
  </si>
  <si>
    <t>shield_mod_regen_m3</t>
  </si>
  <si>
    <t>shield_mod_regen_m4</t>
  </si>
  <si>
    <t>shield_mod_regen_m5</t>
  </si>
  <si>
    <t>shield_mod_regen_m6</t>
  </si>
  <si>
    <t>shield_mod_regen_m7</t>
  </si>
  <si>
    <t>shield_mod_regen_m8</t>
  </si>
  <si>
    <t>shield_mod_regen_m9</t>
  </si>
  <si>
    <t>shield_mod_regen_m10</t>
  </si>
  <si>
    <t>shield_mod_regen_m11</t>
  </si>
  <si>
    <t>shield_mod_regen_m12</t>
  </si>
  <si>
    <t>shield_mod_regen_m13</t>
  </si>
  <si>
    <t>shield_mod_regen_m14</t>
  </si>
  <si>
    <t>shield_mod_regen_m15</t>
  </si>
  <si>
    <t>shield_mod_regen_m16</t>
  </si>
  <si>
    <t>shield_mod_regen_m17</t>
  </si>
  <si>
    <t>shield_mod_regen_m18</t>
  </si>
  <si>
    <t>shield_mod_regen_m19</t>
  </si>
  <si>
    <t>shield_mod_regen_m20</t>
  </si>
  <si>
    <t>shield_mod_regen_m21</t>
  </si>
  <si>
    <t>shield_mod_regen_m22</t>
  </si>
  <si>
    <t>shield_mod_regen_m23</t>
  </si>
  <si>
    <t>shield_mod_regen_m24</t>
  </si>
  <si>
    <t>shield_mod_regen_m25</t>
  </si>
  <si>
    <t>shield_mod_regen_l2</t>
    <phoneticPr fontId="1" type="noConversion"/>
  </si>
  <si>
    <t>shield_mod_regen_l3</t>
  </si>
  <si>
    <t>shield_mod_regen_l4</t>
  </si>
  <si>
    <t>shield_mod_regen_l5</t>
  </si>
  <si>
    <t>shield_mod_regen_l6</t>
  </si>
  <si>
    <t>shield_mod_regen_l7</t>
  </si>
  <si>
    <t>shield_mod_regen_l8</t>
  </si>
  <si>
    <t>shield_mod_regen_l9</t>
  </si>
  <si>
    <t>shield_mod_regen_l10</t>
  </si>
  <si>
    <t>shield_mod_regen_l11</t>
  </si>
  <si>
    <t>shield_mod_regen_l12</t>
  </si>
  <si>
    <t>shield_mod_regen_l13</t>
  </si>
  <si>
    <t>shield_mod_regen_l14</t>
  </si>
  <si>
    <t>shield_mod_regen_l15</t>
  </si>
  <si>
    <t>shield_mod_regen_l16</t>
  </si>
  <si>
    <t>shield_mod_regen_l17</t>
  </si>
  <si>
    <t>shield_mod_regen_l18</t>
  </si>
  <si>
    <t>shield_mod_regen_l19</t>
  </si>
  <si>
    <t>shield_mod_regen_l20</t>
  </si>
  <si>
    <t>shield_mod_regen_l21</t>
  </si>
  <si>
    <t>shield_mod_regen_l22</t>
  </si>
  <si>
    <t>shield_mod_regen_l23</t>
  </si>
  <si>
    <t>shield_mod_regen_l24</t>
  </si>
  <si>
    <t>shield_mod_regen_l25</t>
  </si>
  <si>
    <t>护盾承受值</t>
  </si>
  <si>
    <t>shield_mod_l2_alloys_cost</t>
    <phoneticPr fontId="1" type="noConversion"/>
  </si>
  <si>
    <t>shield_mod_l3_alloys_cost</t>
  </si>
  <si>
    <t>shield_mod_l4_alloys_cost</t>
  </si>
  <si>
    <t>shield_mod_l5_alloys_cost</t>
  </si>
  <si>
    <t>shield_mod_l6_alloys_cost</t>
  </si>
  <si>
    <t>shield_mod_l7_alloys_cost</t>
  </si>
  <si>
    <t>shield_mod_l8_alloys_cost</t>
  </si>
  <si>
    <t>shield_mod_l9_alloys_cost</t>
  </si>
  <si>
    <t>shield_mod_l10_alloys_cost</t>
  </si>
  <si>
    <t>shield_mod_l11_alloys_cost</t>
  </si>
  <si>
    <t>shield_mod_l12_alloys_cost</t>
  </si>
  <si>
    <t>shield_mod_l13_alloys_cost</t>
  </si>
  <si>
    <t>shield_mod_l14_alloys_cost</t>
  </si>
  <si>
    <t>shield_mod_l15_alloys_cost</t>
  </si>
  <si>
    <t>shield_mod_l16_alloys_cost</t>
  </si>
  <si>
    <t>shield_mod_l17_alloys_cost</t>
  </si>
  <si>
    <t>shield_mod_l18_alloys_cost</t>
  </si>
  <si>
    <t>shield_mod_l19_alloys_cost</t>
  </si>
  <si>
    <t>shield_mod_l20_alloys_cost</t>
  </si>
  <si>
    <t>shield_mod_l21_alloys_cost</t>
  </si>
  <si>
    <t>shield_mod_l22_alloys_cost</t>
  </si>
  <si>
    <t>shield_mod_l23_alloys_cost</t>
  </si>
  <si>
    <t>shield_mod_l24_alloys_cost</t>
  </si>
  <si>
    <t>shield_mod_l25_alloys_cost</t>
  </si>
  <si>
    <t>shield_mod_l2_zro_cost</t>
    <phoneticPr fontId="1" type="noConversion"/>
  </si>
  <si>
    <t>shield_mod_l3_zro_cost</t>
  </si>
  <si>
    <t>shield_mod_l4_zro_cost</t>
  </si>
  <si>
    <t>shield_mod_l5_zro_cost</t>
  </si>
  <si>
    <t>shield_mod_l6_zro_cost</t>
  </si>
  <si>
    <t>shield_mod_l7_zro_cost</t>
  </si>
  <si>
    <t>shield_mod_l8_zro_cost</t>
  </si>
  <si>
    <t>shield_mod_l9_zro_cost</t>
  </si>
  <si>
    <t>shield_mod_l10_zro_cost</t>
  </si>
  <si>
    <t>shield_mod_l11_zro_cost</t>
  </si>
  <si>
    <t>shield_mod_l12_zro_cost</t>
  </si>
  <si>
    <t>shield_mod_l13_zro_cost</t>
  </si>
  <si>
    <t>shield_mod_l14_zro_cost</t>
  </si>
  <si>
    <t>shield_mod_l15_zro_cost</t>
  </si>
  <si>
    <t>shield_mod_l16_zro_cost</t>
  </si>
  <si>
    <t>shield_mod_l17_zro_cost</t>
  </si>
  <si>
    <t>shield_mod_l18_zro_cost</t>
  </si>
  <si>
    <t>shield_mod_l19_zro_cost</t>
  </si>
  <si>
    <t>shield_mod_l20_zro_cost</t>
  </si>
  <si>
    <t>shield_mod_l21_zro_cost</t>
  </si>
  <si>
    <t>shield_mod_l22_zro_cost</t>
  </si>
  <si>
    <t>shield_mod_l23_zro_cost</t>
  </si>
  <si>
    <t>shield_mod_l24_zro_cost</t>
  </si>
  <si>
    <t>shield_mod_l25_zro_cost</t>
  </si>
  <si>
    <t>护盾buff</t>
    <phoneticPr fontId="1" type="noConversion"/>
  </si>
  <si>
    <t>25级护盾回复比例</t>
    <phoneticPr fontId="1" type="noConversion"/>
  </si>
  <si>
    <t>装甲回复比例</t>
    <phoneticPr fontId="1" type="noConversion"/>
  </si>
  <si>
    <t>每日护盾回复比例</t>
    <phoneticPr fontId="1" type="noConversion"/>
  </si>
  <si>
    <t>船体值</t>
    <phoneticPr fontId="1" type="noConversion"/>
  </si>
  <si>
    <t>合金维护</t>
    <phoneticPr fontId="1" type="noConversion"/>
  </si>
  <si>
    <t>能量维护</t>
    <phoneticPr fontId="1" type="noConversion"/>
  </si>
  <si>
    <t>mod护盾回复比例</t>
    <phoneticPr fontId="1" type="noConversion"/>
  </si>
  <si>
    <t>每日护盾回复</t>
    <phoneticPr fontId="1" type="noConversion"/>
  </si>
  <si>
    <t>小型</t>
    <phoneticPr fontId="1" type="noConversion"/>
  </si>
  <si>
    <t>硬化起始</t>
    <phoneticPr fontId="1" type="noConversion"/>
  </si>
  <si>
    <t>硬化每级增加</t>
    <phoneticPr fontId="1" type="noConversion"/>
  </si>
  <si>
    <t>级别</t>
    <phoneticPr fontId="1" type="noConversion"/>
  </si>
  <si>
    <t>小型古代脉冲甲</t>
    <phoneticPr fontId="1" type="noConversion"/>
  </si>
  <si>
    <t>中型古达脉冲甲</t>
    <phoneticPr fontId="1" type="noConversion"/>
  </si>
  <si>
    <t>大型古代脉冲甲</t>
    <phoneticPr fontId="1" type="noConversion"/>
  </si>
  <si>
    <t>稀有文物</t>
    <phoneticPr fontId="1" type="noConversion"/>
  </si>
  <si>
    <t>mod折扣</t>
    <phoneticPr fontId="1" type="noConversion"/>
  </si>
  <si>
    <t>小型脉冲甲壳</t>
    <phoneticPr fontId="1" type="noConversion"/>
  </si>
  <si>
    <t>中型脉冲甲壳</t>
    <phoneticPr fontId="1" type="noConversion"/>
  </si>
  <si>
    <t>大型脉冲甲壳</t>
    <phoneticPr fontId="1" type="noConversion"/>
  </si>
  <si>
    <t>每日装甲回复</t>
    <phoneticPr fontId="1" type="noConversion"/>
  </si>
  <si>
    <t>25级护甲回复比例</t>
    <phoneticPr fontId="1" type="noConversion"/>
  </si>
  <si>
    <t>小型基础护盾</t>
    <phoneticPr fontId="1" type="noConversion"/>
  </si>
  <si>
    <t>小型加成护盾</t>
    <phoneticPr fontId="1" type="noConversion"/>
  </si>
  <si>
    <t>小型装甲值</t>
    <phoneticPr fontId="1" type="noConversion"/>
  </si>
  <si>
    <t>小型龙鳞甲壳</t>
    <phoneticPr fontId="1" type="noConversion"/>
  </si>
  <si>
    <t>中型龙鳞甲壳</t>
    <phoneticPr fontId="1" type="noConversion"/>
  </si>
  <si>
    <t>大型龙鳞甲壳</t>
    <phoneticPr fontId="1" type="noConversion"/>
  </si>
  <si>
    <t>合金造价</t>
    <phoneticPr fontId="1" type="noConversion"/>
  </si>
  <si>
    <t>mod活体金属</t>
    <phoneticPr fontId="1" type="noConversion"/>
  </si>
  <si>
    <t>mod纳米</t>
    <phoneticPr fontId="1" type="noConversion"/>
  </si>
  <si>
    <t>mod食物比例</t>
    <phoneticPr fontId="1" type="noConversion"/>
  </si>
  <si>
    <t>mod合金比例</t>
    <phoneticPr fontId="1" type="noConversion"/>
  </si>
  <si>
    <t>mod装甲回复比例</t>
    <phoneticPr fontId="1" type="noConversion"/>
  </si>
  <si>
    <t>装甲护盾合计</t>
    <phoneticPr fontId="1" type="noConversion"/>
  </si>
  <si>
    <t>小型灵能护盾</t>
    <phoneticPr fontId="1" type="noConversion"/>
  </si>
  <si>
    <t>中型灵能护盾</t>
    <phoneticPr fontId="1" type="noConversion"/>
  </si>
  <si>
    <t>大型灵能护盾</t>
    <phoneticPr fontId="1" type="noConversion"/>
  </si>
  <si>
    <t>小型生物灵能护盾</t>
    <phoneticPr fontId="1" type="noConversion"/>
  </si>
  <si>
    <t>中型生物灵能护盾</t>
    <phoneticPr fontId="1" type="noConversion"/>
  </si>
  <si>
    <t>大型生物灵能护盾</t>
    <phoneticPr fontId="1" type="noConversion"/>
  </si>
  <si>
    <t>灵能护盾</t>
    <phoneticPr fontId="1" type="noConversion"/>
  </si>
  <si>
    <t>古代脉冲甲</t>
  </si>
  <si>
    <t>脉冲甲壳</t>
  </si>
  <si>
    <t>龙鳞甲</t>
    <phoneticPr fontId="1" type="noConversion"/>
  </si>
  <si>
    <t>龙鳞甲壳</t>
  </si>
  <si>
    <t>每合金防护</t>
    <phoneticPr fontId="1" type="noConversion"/>
  </si>
  <si>
    <t>25恢复比例</t>
    <phoneticPr fontId="1" type="noConversion"/>
  </si>
  <si>
    <t>生物灵能护盾</t>
    <phoneticPr fontId="1" type="noConversion"/>
  </si>
  <si>
    <t>每合金总防护(1月)</t>
    <phoneticPr fontId="1" type="noConversion"/>
  </si>
  <si>
    <t>bio_mod_alloys_cost_m2</t>
    <phoneticPr fontId="1" type="noConversion"/>
  </si>
  <si>
    <t>bio_mod_alloys_cost_m3</t>
  </si>
  <si>
    <t>bio_mod_alloys_cost_m4</t>
  </si>
  <si>
    <t>bio_mod_alloys_cost_m5</t>
  </si>
  <si>
    <t>bio_mod_alloys_cost_m6</t>
  </si>
  <si>
    <t>bio_mod_alloys_cost_m7</t>
  </si>
  <si>
    <t>bio_mod_alloys_cost_m8</t>
  </si>
  <si>
    <t>bio_mod_alloys_cost_m9</t>
  </si>
  <si>
    <t>bio_mod_alloys_cost_m10</t>
  </si>
  <si>
    <t>bio_mod_alloys_cost_m11</t>
  </si>
  <si>
    <t>bio_mod_alloys_cost_m12</t>
  </si>
  <si>
    <t>bio_mod_alloys_cost_m13</t>
  </si>
  <si>
    <t>bio_mod_alloys_cost_m14</t>
  </si>
  <si>
    <t>bio_mod_alloys_cost_m15</t>
  </si>
  <si>
    <t>bio_mod_alloys_cost_m16</t>
  </si>
  <si>
    <t>bio_mod_alloys_cost_m17</t>
  </si>
  <si>
    <t>bio_mod_alloys_cost_m18</t>
  </si>
  <si>
    <t>bio_mod_alloys_cost_m19</t>
  </si>
  <si>
    <t>bio_mod_alloys_cost_m20</t>
  </si>
  <si>
    <t>bio_mod_alloys_cost_m21</t>
  </si>
  <si>
    <t>bio_mod_alloys_cost_m22</t>
  </si>
  <si>
    <t>bio_mod_alloys_cost_m23</t>
  </si>
  <si>
    <t>bio_mod_alloys_cost_m24</t>
  </si>
  <si>
    <t>bio_mod_alloys_cost_m25</t>
  </si>
  <si>
    <t>bio_mod_food_cost_m2</t>
    <phoneticPr fontId="1" type="noConversion"/>
  </si>
  <si>
    <t>bio_mod_food_cost_m3</t>
  </si>
  <si>
    <t>bio_mod_food_cost_m4</t>
  </si>
  <si>
    <t>bio_mod_food_cost_m5</t>
  </si>
  <si>
    <t>bio_mod_food_cost_m6</t>
  </si>
  <si>
    <t>bio_mod_food_cost_m7</t>
  </si>
  <si>
    <t>bio_mod_food_cost_m8</t>
  </si>
  <si>
    <t>bio_mod_food_cost_m9</t>
  </si>
  <si>
    <t>bio_mod_food_cost_m10</t>
  </si>
  <si>
    <t>bio_mod_food_cost_m11</t>
  </si>
  <si>
    <t>bio_mod_food_cost_m12</t>
  </si>
  <si>
    <t>bio_mod_food_cost_m13</t>
  </si>
  <si>
    <t>bio_mod_food_cost_m14</t>
  </si>
  <si>
    <t>bio_mod_food_cost_m15</t>
  </si>
  <si>
    <t>bio_mod_food_cost_m16</t>
  </si>
  <si>
    <t>bio_mod_food_cost_m17</t>
  </si>
  <si>
    <t>bio_mod_food_cost_m18</t>
  </si>
  <si>
    <t>bio_mod_food_cost_m19</t>
  </si>
  <si>
    <t>bio_mod_food_cost_m20</t>
  </si>
  <si>
    <t>bio_mod_food_cost_m21</t>
  </si>
  <si>
    <t>bio_mod_food_cost_m22</t>
  </si>
  <si>
    <t>bio_mod_food_cost_m23</t>
  </si>
  <si>
    <t>bio_mod_food_cost_m24</t>
  </si>
  <si>
    <t>bio_mod_food_cost_m25</t>
  </si>
  <si>
    <t>bio_mod_alloys_cost_s2</t>
    <phoneticPr fontId="1" type="noConversion"/>
  </si>
  <si>
    <t>bio_mod_alloys_cost_s3</t>
  </si>
  <si>
    <t>bio_mod_alloys_cost_s4</t>
  </si>
  <si>
    <t>bio_mod_alloys_cost_s5</t>
  </si>
  <si>
    <t>bio_mod_alloys_cost_s6</t>
  </si>
  <si>
    <t>bio_mod_alloys_cost_s7</t>
  </si>
  <si>
    <t>bio_mod_alloys_cost_s8</t>
  </si>
  <si>
    <t>bio_mod_alloys_cost_s9</t>
  </si>
  <si>
    <t>bio_mod_alloys_cost_s10</t>
  </si>
  <si>
    <t>bio_mod_alloys_cost_s11</t>
  </si>
  <si>
    <t>bio_mod_alloys_cost_s12</t>
  </si>
  <si>
    <t>bio_mod_alloys_cost_s13</t>
  </si>
  <si>
    <t>bio_mod_alloys_cost_s14</t>
  </si>
  <si>
    <t>bio_mod_alloys_cost_s15</t>
  </si>
  <si>
    <t>bio_mod_alloys_cost_s16</t>
  </si>
  <si>
    <t>bio_mod_alloys_cost_s17</t>
  </si>
  <si>
    <t>bio_mod_alloys_cost_s18</t>
  </si>
  <si>
    <t>bio_mod_alloys_cost_s19</t>
  </si>
  <si>
    <t>bio_mod_alloys_cost_s20</t>
  </si>
  <si>
    <t>bio_mod_alloys_cost_s21</t>
  </si>
  <si>
    <t>bio_mod_alloys_cost_s22</t>
  </si>
  <si>
    <t>bio_mod_alloys_cost_s23</t>
  </si>
  <si>
    <t>bio_mod_alloys_cost_s24</t>
  </si>
  <si>
    <t>bio_mod_alloys_cost_s25</t>
  </si>
  <si>
    <t>bio_mod_food_cost_s2</t>
    <phoneticPr fontId="1" type="noConversion"/>
  </si>
  <si>
    <t>bio_mod_food_cost_s3</t>
  </si>
  <si>
    <t>bio_mod_food_cost_s4</t>
  </si>
  <si>
    <t>bio_mod_food_cost_s5</t>
  </si>
  <si>
    <t>bio_mod_food_cost_s6</t>
  </si>
  <si>
    <t>bio_mod_food_cost_s7</t>
  </si>
  <si>
    <t>bio_mod_food_cost_s8</t>
  </si>
  <si>
    <t>bio_mod_food_cost_s9</t>
  </si>
  <si>
    <t>bio_mod_food_cost_s10</t>
  </si>
  <si>
    <t>bio_mod_food_cost_s11</t>
  </si>
  <si>
    <t>bio_mod_food_cost_s12</t>
  </si>
  <si>
    <t>bio_mod_food_cost_s13</t>
  </si>
  <si>
    <t>bio_mod_food_cost_s14</t>
  </si>
  <si>
    <t>bio_mod_food_cost_s15</t>
  </si>
  <si>
    <t>bio_mod_food_cost_s16</t>
  </si>
  <si>
    <t>bio_mod_food_cost_s17</t>
  </si>
  <si>
    <t>bio_mod_food_cost_s18</t>
  </si>
  <si>
    <t>bio_mod_food_cost_s19</t>
  </si>
  <si>
    <t>bio_mod_food_cost_s20</t>
  </si>
  <si>
    <t>bio_mod_food_cost_s21</t>
  </si>
  <si>
    <t>bio_mod_food_cost_s22</t>
  </si>
  <si>
    <t>bio_mod_food_cost_s23</t>
  </si>
  <si>
    <t>bio_mod_food_cost_s24</t>
  </si>
  <si>
    <t>bio_mod_food_cost_s25</t>
  </si>
  <si>
    <t>辅助表</t>
    <phoneticPr fontId="1" type="noConversion"/>
  </si>
  <si>
    <t>画图辅助表</t>
    <phoneticPr fontId="1" type="noConversion"/>
  </si>
  <si>
    <t>armor_mod_m2</t>
    <phoneticPr fontId="1" type="noConversion"/>
  </si>
  <si>
    <t>armor_mod_m3</t>
  </si>
  <si>
    <t>armor_mod_m4</t>
  </si>
  <si>
    <t>armor_mod_m5</t>
  </si>
  <si>
    <t>armor_mod_m6</t>
  </si>
  <si>
    <t>armor_mod_m7</t>
  </si>
  <si>
    <t>armor_mod_m8</t>
  </si>
  <si>
    <t>armor_mod_m9</t>
  </si>
  <si>
    <t>armor_mod_m10</t>
  </si>
  <si>
    <t>armor_mod_m11</t>
  </si>
  <si>
    <t>armor_mod_m12</t>
  </si>
  <si>
    <t>armor_mod_m13</t>
  </si>
  <si>
    <t>armor_mod_m14</t>
  </si>
  <si>
    <t>armor_mod_m15</t>
  </si>
  <si>
    <t>armor_mod_m16</t>
  </si>
  <si>
    <t>armor_mod_m17</t>
  </si>
  <si>
    <t>armor_mod_m18</t>
  </si>
  <si>
    <t>armor_mod_m19</t>
  </si>
  <si>
    <t>armor_mod_m20</t>
  </si>
  <si>
    <t>armor_mod_m21</t>
  </si>
  <si>
    <t>armor_mod_m22</t>
  </si>
  <si>
    <t>armor_mod_m23</t>
  </si>
  <si>
    <t>armor_mod_m24</t>
  </si>
  <si>
    <t>armor_mod_m25</t>
  </si>
  <si>
    <t>armor_mod_s2</t>
    <phoneticPr fontId="1" type="noConversion"/>
  </si>
  <si>
    <t>armor_mod_s3</t>
  </si>
  <si>
    <t>armor_mod_s4</t>
  </si>
  <si>
    <t>armor_mod_s5</t>
  </si>
  <si>
    <t>armor_mod_s6</t>
  </si>
  <si>
    <t>armor_mod_s7</t>
  </si>
  <si>
    <t>armor_mod_s8</t>
  </si>
  <si>
    <t>armor_mod_s9</t>
  </si>
  <si>
    <t>armor_mod_s10</t>
  </si>
  <si>
    <t>armor_mod_s11</t>
  </si>
  <si>
    <t>armor_mod_s12</t>
  </si>
  <si>
    <t>armor_mod_s13</t>
  </si>
  <si>
    <t>armor_mod_s14</t>
  </si>
  <si>
    <t>armor_mod_s15</t>
  </si>
  <si>
    <t>armor_mod_s16</t>
  </si>
  <si>
    <t>armor_mod_s17</t>
  </si>
  <si>
    <t>armor_mod_s18</t>
  </si>
  <si>
    <t>armor_mod_s19</t>
  </si>
  <si>
    <t>armor_mod_s20</t>
  </si>
  <si>
    <t>armor_mod_s21</t>
  </si>
  <si>
    <t>armor_mod_s22</t>
  </si>
  <si>
    <t>armor_mod_s23</t>
  </si>
  <si>
    <t>armor_mod_s24</t>
  </si>
  <si>
    <t>armor_mod_s25</t>
  </si>
  <si>
    <t>armor_mod_l2</t>
    <phoneticPr fontId="1" type="noConversion"/>
  </si>
  <si>
    <t>armor_mod_l3</t>
  </si>
  <si>
    <t>armor_mod_l4</t>
  </si>
  <si>
    <t>armor_mod_l5</t>
  </si>
  <si>
    <t>armor_mod_l6</t>
  </si>
  <si>
    <t>armor_mod_l7</t>
  </si>
  <si>
    <t>armor_mod_l8</t>
  </si>
  <si>
    <t>armor_mod_l9</t>
  </si>
  <si>
    <t>armor_mod_l10</t>
  </si>
  <si>
    <t>armor_mod_l11</t>
  </si>
  <si>
    <t>armor_mod_l12</t>
  </si>
  <si>
    <t>armor_mod_l13</t>
  </si>
  <si>
    <t>armor_mod_l14</t>
  </si>
  <si>
    <t>armor_mod_l15</t>
  </si>
  <si>
    <t>armor_mod_l16</t>
  </si>
  <si>
    <t>armor_mod_l17</t>
  </si>
  <si>
    <t>armor_mod_l18</t>
  </si>
  <si>
    <t>armor_mod_l19</t>
  </si>
  <si>
    <t>armor_mod_l20</t>
  </si>
  <si>
    <t>armor_mod_l21</t>
  </si>
  <si>
    <t>armor_mod_l22</t>
  </si>
  <si>
    <t>armor_mod_l23</t>
  </si>
  <si>
    <t>armor_mod_l24</t>
  </si>
  <si>
    <t>armor_mod_l25</t>
  </si>
  <si>
    <t>科技花费</t>
    <phoneticPr fontId="1" type="noConversion"/>
  </si>
  <si>
    <t>bio_mod_alloys_cost_l2</t>
    <phoneticPr fontId="1" type="noConversion"/>
  </si>
  <si>
    <t>bio_mod_alloys_cost_l3</t>
  </si>
  <si>
    <t>bio_mod_alloys_cost_l4</t>
  </si>
  <si>
    <t>bio_mod_alloys_cost_l5</t>
  </si>
  <si>
    <t>bio_mod_alloys_cost_l6</t>
  </si>
  <si>
    <t>bio_mod_alloys_cost_l7</t>
  </si>
  <si>
    <t>bio_mod_alloys_cost_l8</t>
  </si>
  <si>
    <t>bio_mod_alloys_cost_l9</t>
  </si>
  <si>
    <t>bio_mod_alloys_cost_l10</t>
  </si>
  <si>
    <t>bio_mod_alloys_cost_l11</t>
  </si>
  <si>
    <t>bio_mod_alloys_cost_l12</t>
  </si>
  <si>
    <t>bio_mod_alloys_cost_l13</t>
  </si>
  <si>
    <t>bio_mod_alloys_cost_l14</t>
  </si>
  <si>
    <t>bio_mod_alloys_cost_l15</t>
  </si>
  <si>
    <t>bio_mod_alloys_cost_l16</t>
  </si>
  <si>
    <t>bio_mod_alloys_cost_l17</t>
  </si>
  <si>
    <t>bio_mod_alloys_cost_l18</t>
  </si>
  <si>
    <t>bio_mod_alloys_cost_l19</t>
  </si>
  <si>
    <t>bio_mod_alloys_cost_l20</t>
  </si>
  <si>
    <t>bio_mod_alloys_cost_l21</t>
  </si>
  <si>
    <t>bio_mod_alloys_cost_l22</t>
  </si>
  <si>
    <t>bio_mod_alloys_cost_l23</t>
  </si>
  <si>
    <t>bio_mod_alloys_cost_l24</t>
  </si>
  <si>
    <t>bio_mod_alloys_cost_l25</t>
  </si>
  <si>
    <t>小型装甲合金维护费</t>
    <phoneticPr fontId="1" type="noConversion"/>
  </si>
  <si>
    <t>中型装甲合金维护费</t>
    <phoneticPr fontId="1" type="noConversion"/>
  </si>
  <si>
    <t>大型装甲合金维护费</t>
    <phoneticPr fontId="1" type="noConversion"/>
  </si>
  <si>
    <t>小型装甲能量维护费</t>
    <phoneticPr fontId="1" type="noConversion"/>
  </si>
  <si>
    <t>中型装甲能量维护费</t>
    <phoneticPr fontId="1" type="noConversion"/>
  </si>
  <si>
    <t>大型装甲能量维护费</t>
    <phoneticPr fontId="1" type="noConversion"/>
  </si>
  <si>
    <t>shield_s2_alloys_upkeep_mod</t>
    <phoneticPr fontId="1" type="noConversion"/>
  </si>
  <si>
    <t>shield_s3_alloys_upkeep_mod</t>
  </si>
  <si>
    <t>shield_s4_alloys_upkeep_mod</t>
  </si>
  <si>
    <t>shield_s5_alloys_upkeep_mod</t>
  </si>
  <si>
    <t>shield_s6_alloys_upkeep_mod</t>
  </si>
  <si>
    <t>shield_s7_alloys_upkeep_mod</t>
  </si>
  <si>
    <t>shield_s8_alloys_upkeep_mod</t>
  </si>
  <si>
    <t>shield_s9_alloys_upkeep_mod</t>
  </si>
  <si>
    <t>shield_s10_alloys_upkeep_mod</t>
  </si>
  <si>
    <t>shield_s11_alloys_upkeep_mod</t>
  </si>
  <si>
    <t>shield_s12_alloys_upkeep_mod</t>
  </si>
  <si>
    <t>shield_s13_alloys_upkeep_mod</t>
  </si>
  <si>
    <t>shield_s14_alloys_upkeep_mod</t>
  </si>
  <si>
    <t>shield_s15_alloys_upkeep_mod</t>
  </si>
  <si>
    <t>shield_s16_alloys_upkeep_mod</t>
  </si>
  <si>
    <t>shield_s17_alloys_upkeep_mod</t>
  </si>
  <si>
    <t>shield_s18_alloys_upkeep_mod</t>
  </si>
  <si>
    <t>shield_s19_alloys_upkeep_mod</t>
  </si>
  <si>
    <t>shield_s20_alloys_upkeep_mod</t>
  </si>
  <si>
    <t>shield_s21_alloys_upkeep_mod</t>
  </si>
  <si>
    <t>shield_s22_alloys_upkeep_mod</t>
  </si>
  <si>
    <t>shield_s23_alloys_upkeep_mod</t>
  </si>
  <si>
    <t>shield_s24_alloys_upkeep_mod</t>
  </si>
  <si>
    <t>shield_s25_alloys_upkeep_mod</t>
  </si>
  <si>
    <t>shield_s2_alloys_energy_mod</t>
    <phoneticPr fontId="1" type="noConversion"/>
  </si>
  <si>
    <t>shield_s3_alloys_energy_mod</t>
  </si>
  <si>
    <t>shield_s4_alloys_energy_mod</t>
  </si>
  <si>
    <t>shield_s5_alloys_energy_mod</t>
  </si>
  <si>
    <t>shield_s6_alloys_energy_mod</t>
  </si>
  <si>
    <t>shield_s7_alloys_energy_mod</t>
  </si>
  <si>
    <t>shield_s8_alloys_energy_mod</t>
  </si>
  <si>
    <t>shield_s9_alloys_energy_mod</t>
  </si>
  <si>
    <t>shield_s10_alloys_energy_mod</t>
  </si>
  <si>
    <t>shield_s11_alloys_energy_mod</t>
  </si>
  <si>
    <t>shield_s12_alloys_energy_mod</t>
  </si>
  <si>
    <t>shield_s13_alloys_energy_mod</t>
  </si>
  <si>
    <t>shield_s14_alloys_energy_mod</t>
  </si>
  <si>
    <t>shield_s15_alloys_energy_mod</t>
  </si>
  <si>
    <t>shield_s16_alloys_energy_mod</t>
  </si>
  <si>
    <t>shield_s17_alloys_energy_mod</t>
  </si>
  <si>
    <t>shield_s18_alloys_energy_mod</t>
  </si>
  <si>
    <t>shield_s19_alloys_energy_mod</t>
  </si>
  <si>
    <t>shield_s20_alloys_energy_mod</t>
  </si>
  <si>
    <t>shield_s21_alloys_energy_mod</t>
  </si>
  <si>
    <t>shield_s22_alloys_energy_mod</t>
  </si>
  <si>
    <t>shield_s23_alloys_energy_mod</t>
  </si>
  <si>
    <t>shield_s24_alloys_energy_mod</t>
  </si>
  <si>
    <t>shield_s25_alloys_energy_mod</t>
  </si>
  <si>
    <t>shield_m2_alloys_energy_mod</t>
    <phoneticPr fontId="1" type="noConversion"/>
  </si>
  <si>
    <t>shield_m2_alloys_upkeep_mod</t>
    <phoneticPr fontId="1" type="noConversion"/>
  </si>
  <si>
    <t>shield_m3_alloys_upkeep_mod</t>
  </si>
  <si>
    <t>shield_m4_alloys_upkeep_mod</t>
  </si>
  <si>
    <t>shield_m5_alloys_upkeep_mod</t>
  </si>
  <si>
    <t>shield_m6_alloys_upkeep_mod</t>
  </si>
  <si>
    <t>shield_m7_alloys_upkeep_mod</t>
  </si>
  <si>
    <t>shield_m8_alloys_upkeep_mod</t>
  </si>
  <si>
    <t>shield_m9_alloys_upkeep_mod</t>
  </si>
  <si>
    <t>shield_m10_alloys_upkeep_mod</t>
  </si>
  <si>
    <t>shield_m11_alloys_upkeep_mod</t>
  </si>
  <si>
    <t>shield_m12_alloys_upkeep_mod</t>
  </si>
  <si>
    <t>shield_m13_alloys_upkeep_mod</t>
  </si>
  <si>
    <t>shield_m14_alloys_upkeep_mod</t>
  </si>
  <si>
    <t>shield_m15_alloys_upkeep_mod</t>
  </si>
  <si>
    <t>shield_m16_alloys_upkeep_mod</t>
  </si>
  <si>
    <t>shield_m17_alloys_upkeep_mod</t>
  </si>
  <si>
    <t>shield_m18_alloys_upkeep_mod</t>
  </si>
  <si>
    <t>shield_m19_alloys_upkeep_mod</t>
  </si>
  <si>
    <t>shield_m20_alloys_upkeep_mod</t>
  </si>
  <si>
    <t>shield_m21_alloys_upkeep_mod</t>
  </si>
  <si>
    <t>shield_m22_alloys_upkeep_mod</t>
  </si>
  <si>
    <t>shield_m23_alloys_upkeep_mod</t>
  </si>
  <si>
    <t>shield_m24_alloys_upkeep_mod</t>
  </si>
  <si>
    <t>shield_m25_alloys_upkeep_mod</t>
  </si>
  <si>
    <t>shield_m3_alloys_energy_mod</t>
  </si>
  <si>
    <t>shield_m4_alloys_energy_mod</t>
  </si>
  <si>
    <t>shield_m5_alloys_energy_mod</t>
  </si>
  <si>
    <t>shield_m6_alloys_energy_mod</t>
  </si>
  <si>
    <t>shield_m7_alloys_energy_mod</t>
  </si>
  <si>
    <t>shield_m8_alloys_energy_mod</t>
  </si>
  <si>
    <t>shield_m9_alloys_energy_mod</t>
  </si>
  <si>
    <t>shield_m10_alloys_energy_mod</t>
  </si>
  <si>
    <t>shield_m11_alloys_energy_mod</t>
  </si>
  <si>
    <t>shield_m12_alloys_energy_mod</t>
  </si>
  <si>
    <t>shield_m13_alloys_energy_mod</t>
  </si>
  <si>
    <t>shield_m14_alloys_energy_mod</t>
  </si>
  <si>
    <t>shield_m15_alloys_energy_mod</t>
  </si>
  <si>
    <t>shield_m16_alloys_energy_mod</t>
  </si>
  <si>
    <t>shield_m17_alloys_energy_mod</t>
  </si>
  <si>
    <t>shield_m18_alloys_energy_mod</t>
  </si>
  <si>
    <t>shield_m19_alloys_energy_mod</t>
  </si>
  <si>
    <t>shield_m20_alloys_energy_mod</t>
  </si>
  <si>
    <t>shield_m21_alloys_energy_mod</t>
  </si>
  <si>
    <t>shield_m22_alloys_energy_mod</t>
  </si>
  <si>
    <t>shield_m23_alloys_energy_mod</t>
  </si>
  <si>
    <t>shield_m24_alloys_energy_mod</t>
  </si>
  <si>
    <t>shield_m25_alloys_energy_mod</t>
  </si>
  <si>
    <t>shield_l2_alloys_upkeep_mod</t>
    <phoneticPr fontId="1" type="noConversion"/>
  </si>
  <si>
    <t>shield_l3_alloys_upkeep_mod</t>
  </si>
  <si>
    <t>shield_l4_alloys_upkeep_mod</t>
  </si>
  <si>
    <t>shield_l5_alloys_upkeep_mod</t>
  </si>
  <si>
    <t>shield_l6_alloys_upkeep_mod</t>
  </si>
  <si>
    <t>shield_l7_alloys_upkeep_mod</t>
  </si>
  <si>
    <t>shield_l8_alloys_upkeep_mod</t>
  </si>
  <si>
    <t>shield_l9_alloys_upkeep_mod</t>
  </si>
  <si>
    <t>shield_l10_alloys_upkeep_mod</t>
  </si>
  <si>
    <t>shield_l11_alloys_upkeep_mod</t>
  </si>
  <si>
    <t>shield_l12_alloys_upkeep_mod</t>
  </si>
  <si>
    <t>shield_l13_alloys_upkeep_mod</t>
  </si>
  <si>
    <t>shield_l14_alloys_upkeep_mod</t>
  </si>
  <si>
    <t>shield_l15_alloys_upkeep_mod</t>
  </si>
  <si>
    <t>shield_l16_alloys_upkeep_mod</t>
  </si>
  <si>
    <t>shield_l17_alloys_upkeep_mod</t>
  </si>
  <si>
    <t>shield_l18_alloys_upkeep_mod</t>
  </si>
  <si>
    <t>shield_l19_alloys_upkeep_mod</t>
  </si>
  <si>
    <t>shield_l20_alloys_upkeep_mod</t>
  </si>
  <si>
    <t>shield_l21_alloys_upkeep_mod</t>
  </si>
  <si>
    <t>shield_l22_alloys_upkeep_mod</t>
  </si>
  <si>
    <t>shield_l23_alloys_upkeep_mod</t>
  </si>
  <si>
    <t>shield_l24_alloys_upkeep_mod</t>
  </si>
  <si>
    <t>shield_l25_alloys_upkeep_mod</t>
  </si>
  <si>
    <t>shield_l25_alloys_energy_mod</t>
  </si>
  <si>
    <t>shield_l2_alloys_energy_mod</t>
    <phoneticPr fontId="1" type="noConversion"/>
  </si>
  <si>
    <t>shield_l3_alloys_energy_mod</t>
  </si>
  <si>
    <t>shield_l4_alloys_energy_mod</t>
  </si>
  <si>
    <t>shield_l5_alloys_energy_mod</t>
  </si>
  <si>
    <t>shield_l6_alloys_energy_mod</t>
  </si>
  <si>
    <t>shield_l7_alloys_energy_mod</t>
  </si>
  <si>
    <t>shield_l8_alloys_energy_mod</t>
  </si>
  <si>
    <t>shield_l9_alloys_energy_mod</t>
  </si>
  <si>
    <t>shield_l10_alloys_energy_mod</t>
  </si>
  <si>
    <t>shield_l11_alloys_energy_mod</t>
  </si>
  <si>
    <t>shield_l12_alloys_energy_mod</t>
  </si>
  <si>
    <t>shield_l13_alloys_energy_mod</t>
  </si>
  <si>
    <t>shield_l14_alloys_energy_mod</t>
  </si>
  <si>
    <t>shield_l15_alloys_energy_mod</t>
  </si>
  <si>
    <t>shield_l16_alloys_energy_mod</t>
  </si>
  <si>
    <t>shield_l17_alloys_energy_mod</t>
  </si>
  <si>
    <t>shield_l18_alloys_energy_mod</t>
  </si>
  <si>
    <t>shield_l19_alloys_energy_mod</t>
  </si>
  <si>
    <t>shield_l20_alloys_energy_mod</t>
  </si>
  <si>
    <t>shield_l21_alloys_energy_mod</t>
  </si>
  <si>
    <t>shield_l22_alloys_energy_mod</t>
  </si>
  <si>
    <t>shield_l23_alloys_energy_mod</t>
  </si>
  <si>
    <t>shield_l24_alloys_energy_mod</t>
  </si>
  <si>
    <t>armor_s2_alloys_upkeep_mod</t>
    <phoneticPr fontId="1" type="noConversion"/>
  </si>
  <si>
    <t>armor_s3_alloys_upkeep_mod</t>
  </si>
  <si>
    <t>armor_s4_alloys_upkeep_mod</t>
  </si>
  <si>
    <t>armor_s5_alloys_upkeep_mod</t>
  </si>
  <si>
    <t>armor_s6_alloys_upkeep_mod</t>
  </si>
  <si>
    <t>armor_s7_alloys_upkeep_mod</t>
  </si>
  <si>
    <t>armor_s8_alloys_upkeep_mod</t>
  </si>
  <si>
    <t>armor_s9_alloys_upkeep_mod</t>
  </si>
  <si>
    <t>armor_s10_alloys_upkeep_mod</t>
  </si>
  <si>
    <t>armor_s11_alloys_upkeep_mod</t>
  </si>
  <si>
    <t>armor_s12_alloys_upkeep_mod</t>
  </si>
  <si>
    <t>armor_s13_alloys_upkeep_mod</t>
  </si>
  <si>
    <t>armor_s14_alloys_upkeep_mod</t>
  </si>
  <si>
    <t>armor_s15_alloys_upkeep_mod</t>
  </si>
  <si>
    <t>armor_s16_alloys_upkeep_mod</t>
  </si>
  <si>
    <t>armor_s17_alloys_upkeep_mod</t>
  </si>
  <si>
    <t>armor_s18_alloys_upkeep_mod</t>
  </si>
  <si>
    <t>armor_s19_alloys_upkeep_mod</t>
  </si>
  <si>
    <t>armor_s20_alloys_upkeep_mod</t>
  </si>
  <si>
    <t>armor_s21_alloys_upkeep_mod</t>
  </si>
  <si>
    <t>armor_s22_alloys_upkeep_mod</t>
  </si>
  <si>
    <t>armor_s23_alloys_upkeep_mod</t>
  </si>
  <si>
    <t>armor_s24_alloys_upkeep_mod</t>
  </si>
  <si>
    <t>armor_s25_alloys_upkeep_mod</t>
  </si>
  <si>
    <t>armor_s2_alloys_energy_mod</t>
    <phoneticPr fontId="1" type="noConversion"/>
  </si>
  <si>
    <t>armor_s3_alloys_energy_mod</t>
  </si>
  <si>
    <t>armor_s4_alloys_energy_mod</t>
  </si>
  <si>
    <t>armor_s5_alloys_energy_mod</t>
  </si>
  <si>
    <t>armor_s6_alloys_energy_mod</t>
  </si>
  <si>
    <t>armor_s7_alloys_energy_mod</t>
  </si>
  <si>
    <t>armor_s8_alloys_energy_mod</t>
  </si>
  <si>
    <t>armor_s9_alloys_energy_mod</t>
  </si>
  <si>
    <t>armor_s10_alloys_energy_mod</t>
  </si>
  <si>
    <t>armor_s11_alloys_energy_mod</t>
  </si>
  <si>
    <t>armor_s12_alloys_energy_mod</t>
  </si>
  <si>
    <t>armor_s13_alloys_energy_mod</t>
  </si>
  <si>
    <t>armor_s14_alloys_energy_mod</t>
  </si>
  <si>
    <t>armor_s15_alloys_energy_mod</t>
  </si>
  <si>
    <t>armor_s16_alloys_energy_mod</t>
  </si>
  <si>
    <t>armor_s17_alloys_energy_mod</t>
  </si>
  <si>
    <t>armor_s18_alloys_energy_mod</t>
  </si>
  <si>
    <t>armor_s19_alloys_energy_mod</t>
  </si>
  <si>
    <t>armor_s20_alloys_energy_mod</t>
  </si>
  <si>
    <t>armor_s21_alloys_energy_mod</t>
  </si>
  <si>
    <t>armor_s22_alloys_energy_mod</t>
  </si>
  <si>
    <t>armor_s23_alloys_energy_mod</t>
  </si>
  <si>
    <t>armor_s24_alloys_energy_mod</t>
  </si>
  <si>
    <t>armor_m2_alloys_upkeep_mod</t>
    <phoneticPr fontId="1" type="noConversion"/>
  </si>
  <si>
    <t>armor_m3_alloys_upkeep_mod</t>
  </si>
  <si>
    <t>armor_m4_alloys_upkeep_mod</t>
  </si>
  <si>
    <t>armor_m5_alloys_upkeep_mod</t>
  </si>
  <si>
    <t>armor_m6_alloys_upkeep_mod</t>
  </si>
  <si>
    <t>armor_m7_alloys_upkeep_mod</t>
  </si>
  <si>
    <t>armor_m8_alloys_upkeep_mod</t>
  </si>
  <si>
    <t>armor_m9_alloys_upkeep_mod</t>
  </si>
  <si>
    <t>armor_m10_alloys_upkeep_mod</t>
  </si>
  <si>
    <t>armor_m11_alloys_upkeep_mod</t>
  </si>
  <si>
    <t>armor_m12_alloys_upkeep_mod</t>
  </si>
  <si>
    <t>armor_m13_alloys_upkeep_mod</t>
  </si>
  <si>
    <t>armor_m14_alloys_upkeep_mod</t>
  </si>
  <si>
    <t>armor_m15_alloys_upkeep_mod</t>
  </si>
  <si>
    <t>armor_m16_alloys_upkeep_mod</t>
  </si>
  <si>
    <t>armor_m17_alloys_upkeep_mod</t>
  </si>
  <si>
    <t>armor_m18_alloys_upkeep_mod</t>
  </si>
  <si>
    <t>armor_m19_alloys_upkeep_mod</t>
  </si>
  <si>
    <t>armor_m20_alloys_upkeep_mod</t>
  </si>
  <si>
    <t>armor_m21_alloys_upkeep_mod</t>
  </si>
  <si>
    <t>armor_m22_alloys_upkeep_mod</t>
  </si>
  <si>
    <t>armor_m23_alloys_upkeep_mod</t>
  </si>
  <si>
    <t>armor_m24_alloys_upkeep_mod</t>
  </si>
  <si>
    <t>armor_s25_alloys_energy_mod</t>
    <phoneticPr fontId="1" type="noConversion"/>
  </si>
  <si>
    <t>armor_m2_alloys_energy_mod</t>
    <phoneticPr fontId="1" type="noConversion"/>
  </si>
  <si>
    <t>armor_m3_alloys_energy_mod</t>
  </si>
  <si>
    <t>armor_m4_alloys_energy_mod</t>
  </si>
  <si>
    <t>armor_m5_alloys_energy_mod</t>
  </si>
  <si>
    <t>armor_m6_alloys_energy_mod</t>
  </si>
  <si>
    <t>armor_m7_alloys_energy_mod</t>
  </si>
  <si>
    <t>armor_m8_alloys_energy_mod</t>
  </si>
  <si>
    <t>armor_m9_alloys_energy_mod</t>
  </si>
  <si>
    <t>armor_m10_alloys_energy_mod</t>
  </si>
  <si>
    <t>armor_m11_alloys_energy_mod</t>
  </si>
  <si>
    <t>armor_m12_alloys_energy_mod</t>
  </si>
  <si>
    <t>armor_m13_alloys_energy_mod</t>
  </si>
  <si>
    <t>armor_m14_alloys_energy_mod</t>
  </si>
  <si>
    <t>armor_m15_alloys_energy_mod</t>
  </si>
  <si>
    <t>armor_m16_alloys_energy_mod</t>
  </si>
  <si>
    <t>armor_m17_alloys_energy_mod</t>
  </si>
  <si>
    <t>armor_m18_alloys_energy_mod</t>
  </si>
  <si>
    <t>armor_m19_alloys_energy_mod</t>
  </si>
  <si>
    <t>armor_m20_alloys_energy_mod</t>
  </si>
  <si>
    <t>armor_m21_alloys_energy_mod</t>
  </si>
  <si>
    <t>armor_m22_alloys_energy_mod</t>
  </si>
  <si>
    <t>armor_m23_alloys_energy_mod</t>
  </si>
  <si>
    <t>armor_m24_alloys_energy_mod</t>
  </si>
  <si>
    <t>armor_m25_alloys_energy_mod</t>
  </si>
  <si>
    <t>armor_l2_alloys_energy_mod</t>
    <phoneticPr fontId="1" type="noConversion"/>
  </si>
  <si>
    <t>armor_l3_alloys_energy_mod</t>
  </si>
  <si>
    <t>armor_l4_alloys_energy_mod</t>
  </si>
  <si>
    <t>armor_l5_alloys_energy_mod</t>
  </si>
  <si>
    <t>armor_l6_alloys_energy_mod</t>
  </si>
  <si>
    <t>armor_l7_alloys_energy_mod</t>
  </si>
  <si>
    <t>armor_l8_alloys_energy_mod</t>
  </si>
  <si>
    <t>armor_l9_alloys_energy_mod</t>
  </si>
  <si>
    <t>armor_l10_alloys_energy_mod</t>
  </si>
  <si>
    <t>armor_l11_alloys_energy_mod</t>
  </si>
  <si>
    <t>armor_l12_alloys_energy_mod</t>
  </si>
  <si>
    <t>armor_l13_alloys_energy_mod</t>
  </si>
  <si>
    <t>armor_l14_alloys_energy_mod</t>
  </si>
  <si>
    <t>armor_l15_alloys_energy_mod</t>
  </si>
  <si>
    <t>armor_l16_alloys_energy_mod</t>
  </si>
  <si>
    <t>armor_l17_alloys_energy_mod</t>
  </si>
  <si>
    <t>armor_l18_alloys_energy_mod</t>
  </si>
  <si>
    <t>armor_l19_alloys_energy_mod</t>
  </si>
  <si>
    <t>armor_l20_alloys_energy_mod</t>
  </si>
  <si>
    <t>armor_l21_alloys_energy_mod</t>
  </si>
  <si>
    <t>armor_l22_alloys_energy_mod</t>
  </si>
  <si>
    <t>armor_l23_alloys_energy_mod</t>
  </si>
  <si>
    <t>armor_l24_alloys_energy_mod</t>
  </si>
  <si>
    <t>armor_l25_alloys_energy_mod</t>
  </si>
  <si>
    <t>armor_m25_alloys_upkeep_mod</t>
    <phoneticPr fontId="1" type="noConversion"/>
  </si>
  <si>
    <t>armor_l2_alloys_upkeep_mod</t>
    <phoneticPr fontId="1" type="noConversion"/>
  </si>
  <si>
    <t>armor_l3_alloys_upkeep_mod</t>
  </si>
  <si>
    <t>armor_l4_alloys_upkeep_mod</t>
  </si>
  <si>
    <t>armor_l5_alloys_upkeep_mod</t>
  </si>
  <si>
    <t>armor_l6_alloys_upkeep_mod</t>
  </si>
  <si>
    <t>armor_l7_alloys_upkeep_mod</t>
  </si>
  <si>
    <t>armor_l8_alloys_upkeep_mod</t>
  </si>
  <si>
    <t>armor_l9_alloys_upkeep_mod</t>
  </si>
  <si>
    <t>armor_l10_alloys_upkeep_mod</t>
  </si>
  <si>
    <t>armor_l11_alloys_upkeep_mod</t>
  </si>
  <si>
    <t>armor_l12_alloys_upkeep_mod</t>
  </si>
  <si>
    <t>armor_l13_alloys_upkeep_mod</t>
  </si>
  <si>
    <t>armor_l14_alloys_upkeep_mod</t>
  </si>
  <si>
    <t>armor_l15_alloys_upkeep_mod</t>
  </si>
  <si>
    <t>armor_l16_alloys_upkeep_mod</t>
  </si>
  <si>
    <t>armor_l17_alloys_upkeep_mod</t>
  </si>
  <si>
    <t>armor_l18_alloys_upkeep_mod</t>
  </si>
  <si>
    <t>armor_l19_alloys_upkeep_mod</t>
  </si>
  <si>
    <t>armor_l20_alloys_upkeep_mod</t>
  </si>
  <si>
    <t>armor_l21_alloys_upkeep_mod</t>
  </si>
  <si>
    <t>armor_l22_alloys_upkeep_mod</t>
  </si>
  <si>
    <t>armor_l23_alloys_upkeep_mod</t>
  </si>
  <si>
    <t>armor_l24_alloys_upkeep_mod</t>
  </si>
  <si>
    <t>armor_l25_alloys_upkeep_mod</t>
  </si>
  <si>
    <t>小型护盾组件合金维护费</t>
    <phoneticPr fontId="1" type="noConversion"/>
  </si>
  <si>
    <t>小型护盾组件能量维护费</t>
    <phoneticPr fontId="1" type="noConversion"/>
  </si>
  <si>
    <t>中型护盾组件能量维护费</t>
    <phoneticPr fontId="1" type="noConversion"/>
  </si>
  <si>
    <t>大型护盾组件能量维护费</t>
    <phoneticPr fontId="1" type="noConversion"/>
  </si>
  <si>
    <t>硬化值</t>
    <phoneticPr fontId="1" type="noConversion"/>
  </si>
  <si>
    <t>bio_mod_food_cost_l2</t>
    <phoneticPr fontId="1" type="noConversion"/>
  </si>
  <si>
    <t>bio_mod_food_cost_l3</t>
  </si>
  <si>
    <t>bio_mod_food_cost_l4</t>
  </si>
  <si>
    <t>bio_mod_food_cost_l5</t>
  </si>
  <si>
    <t>bio_mod_food_cost_l6</t>
  </si>
  <si>
    <t>bio_mod_food_cost_l7</t>
  </si>
  <si>
    <t>bio_mod_food_cost_l8</t>
  </si>
  <si>
    <t>bio_mod_food_cost_l9</t>
  </si>
  <si>
    <t>bio_mod_food_cost_l10</t>
  </si>
  <si>
    <t>bio_mod_food_cost_l11</t>
  </si>
  <si>
    <t>bio_mod_food_cost_l12</t>
  </si>
  <si>
    <t>bio_mod_food_cost_l13</t>
  </si>
  <si>
    <t>bio_mod_food_cost_l14</t>
  </si>
  <si>
    <t>bio_mod_food_cost_l15</t>
  </si>
  <si>
    <t>bio_mod_food_cost_l16</t>
  </si>
  <si>
    <t>bio_mod_food_cost_l17</t>
  </si>
  <si>
    <t>bio_mod_food_cost_l18</t>
  </si>
  <si>
    <t>bio_mod_food_cost_l19</t>
  </si>
  <si>
    <t>bio_mod_food_cost_l20</t>
  </si>
  <si>
    <t>bio_mod_food_cost_l21</t>
  </si>
  <si>
    <t>bio_mod_food_cost_l22</t>
  </si>
  <si>
    <t>bio_mod_food_cost_l23</t>
  </si>
  <si>
    <t>bio_mod_food_cost_l24</t>
  </si>
  <si>
    <t>bio_mod_food_cost_l25</t>
  </si>
  <si>
    <t>bio_archaeo_shield_buff_l2</t>
    <phoneticPr fontId="1" type="noConversion"/>
  </si>
  <si>
    <t>bio_archaeo_shield_buff_l3</t>
  </si>
  <si>
    <t>bio_archaeo_shield_buff_l4</t>
  </si>
  <si>
    <t>bio_archaeo_shield_buff_l5</t>
  </si>
  <si>
    <t>bio_archaeo_shield_buff_l6</t>
  </si>
  <si>
    <t>bio_archaeo_shield_buff_l7</t>
  </si>
  <si>
    <t>bio_archaeo_shield_buff_l8</t>
  </si>
  <si>
    <t>bio_archaeo_shield_buff_l9</t>
  </si>
  <si>
    <t>bio_archaeo_shield_buff_l10</t>
  </si>
  <si>
    <t>bio_archaeo_shield_buff_l11</t>
  </si>
  <si>
    <t>bio_archaeo_shield_buff_l12</t>
  </si>
  <si>
    <t>bio_archaeo_shield_buff_l13</t>
  </si>
  <si>
    <t>bio_archaeo_shield_buff_l14</t>
  </si>
  <si>
    <t>bio_archaeo_shield_buff_l15</t>
  </si>
  <si>
    <t>bio_archaeo_shield_buff_l16</t>
  </si>
  <si>
    <t>bio_archaeo_shield_buff_l17</t>
  </si>
  <si>
    <t>bio_archaeo_shield_buff_l18</t>
  </si>
  <si>
    <t>bio_archaeo_shield_buff_l19</t>
  </si>
  <si>
    <t>bio_archaeo_shield_buff_l20</t>
  </si>
  <si>
    <t>bio_archaeo_shield_buff_l21</t>
  </si>
  <si>
    <t>bio_archaeo_shield_buff_l22</t>
  </si>
  <si>
    <t>bio_archaeo_shield_buff_l23</t>
  </si>
  <si>
    <t>bio_archaeo_shield_buff_l24</t>
  </si>
  <si>
    <t>bio_archaeo_shield_buff_l25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</si>
</sst>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4" borderId="2" xfId="0" applyFill="1" applyBorder="1">
      <alignment vertical="center"/>
    </xf>
    <xf numFmtId="0" fontId="0" fillId="14" borderId="3" xfId="0" applyFill="1" applyBorder="1">
      <alignment vertical="center"/>
    </xf>
    <xf numFmtId="0" fontId="0" fillId="14" borderId="4" xfId="0" applyFill="1" applyBorder="1">
      <alignment vertical="center"/>
    </xf>
    <xf numFmtId="0" fontId="0" fillId="14" borderId="5" xfId="0" applyFill="1" applyBorder="1">
      <alignment vertical="center"/>
    </xf>
    <xf numFmtId="0" fontId="0" fillId="14" borderId="0" xfId="0" applyFill="1">
      <alignment vertical="center"/>
    </xf>
    <xf numFmtId="0" fontId="0" fillId="14" borderId="6" xfId="0" applyFill="1" applyBorder="1">
      <alignment vertical="center"/>
    </xf>
    <xf numFmtId="0" fontId="0" fillId="14" borderId="7" xfId="0" applyFill="1" applyBorder="1">
      <alignment vertical="center"/>
    </xf>
    <xf numFmtId="0" fontId="0" fillId="14" borderId="8" xfId="0" applyFill="1" applyBorder="1">
      <alignment vertical="center"/>
    </xf>
    <xf numFmtId="0" fontId="0" fillId="14" borderId="9" xfId="0" applyFill="1" applyBorder="1">
      <alignment vertical="center"/>
    </xf>
    <xf numFmtId="0" fontId="0" fillId="14" borderId="10" xfId="0" applyFill="1" applyBorder="1">
      <alignment vertical="center"/>
    </xf>
    <xf numFmtId="0" fontId="0" fillId="14" borderId="14" xfId="0" applyFill="1" applyBorder="1">
      <alignment vertical="center"/>
    </xf>
    <xf numFmtId="0" fontId="0" fillId="14" borderId="11" xfId="0" applyFill="1" applyBorder="1">
      <alignment vertical="center"/>
    </xf>
    <xf numFmtId="0" fontId="0" fillId="14" borderId="12" xfId="0" applyFill="1" applyBorder="1">
      <alignment vertical="center"/>
    </xf>
    <xf numFmtId="0" fontId="0" fillId="14" borderId="15" xfId="0" applyFill="1" applyBorder="1">
      <alignment vertical="center"/>
    </xf>
    <xf numFmtId="0" fontId="0" fillId="14" borderId="13" xfId="0" applyFill="1" applyBorder="1">
      <alignment vertical="center"/>
    </xf>
    <xf numFmtId="0" fontId="0" fillId="14" borderId="1" xfId="0" applyFill="1" applyBorder="1">
      <alignment vertical="center"/>
    </xf>
    <xf numFmtId="0" fontId="0" fillId="10" borderId="3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8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</a:t>
            </a:r>
            <a:r>
              <a:rPr lang="zh-CN" altLang="en-US"/>
              <a:t>防护每日回复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139075603354459"/>
          <c:y val="0.21002569165259174"/>
          <c:w val="0.75772261698994947"/>
          <c:h val="0.72422032970954164"/>
        </c:manualLayout>
      </c:layout>
      <c:lineChart>
        <c:grouping val="standard"/>
        <c:varyColors val="0"/>
        <c:ser>
          <c:idx val="0"/>
          <c:order val="0"/>
          <c:tx>
            <c:v>灵能盾</c:v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B0-4780-BA02-A80F4776A6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B0-4780-BA02-A80F4776A6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B0-4780-BA02-A80F4776A6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B0-4780-BA02-A80F4776A6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B0-4780-BA02-A80F4776A63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B0-4780-BA02-A80F4776A63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B0-4780-BA02-A80F4776A63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B0-4780-BA02-A80F4776A63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BB0-4780-BA02-A80F4776A63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B0-4780-BA02-A80F4776A63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BB0-4780-BA02-A80F4776A63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BB0-4780-BA02-A80F4776A63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BB0-4780-BA02-A80F4776A63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B0-4780-BA02-A80F4776A633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B0-4780-BA02-A80F4776A633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B0-4780-BA02-A80F4776A633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BB0-4780-BA02-A80F4776A633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B0-4780-BA02-A80F4776A63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B0-4780-BA02-A80F4776A633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B0-4780-BA02-A80F4776A633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B0-4780-BA02-A80F4776A63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B0-4780-BA02-A80F4776A633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BB0-4780-BA02-A80F4776A633}"/>
                </c:ext>
              </c:extLst>
            </c:dLbl>
            <c:dLbl>
              <c:idx val="23"/>
              <c:layout>
                <c:manualLayout>
                  <c:x val="-0.16260162601626016"/>
                  <c:y val="7.82703332778266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BB0-4780-BA02-A80F4776A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泽珞护盾肌体!$A$54:$A$77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灵能盾!$K$54:$K$77</c:f>
              <c:numCache>
                <c:formatCode>General</c:formatCode>
                <c:ptCount val="24"/>
                <c:pt idx="0">
                  <c:v>42</c:v>
                </c:pt>
                <c:pt idx="1">
                  <c:v>68</c:v>
                </c:pt>
                <c:pt idx="2">
                  <c:v>98</c:v>
                </c:pt>
                <c:pt idx="3">
                  <c:v>129</c:v>
                </c:pt>
                <c:pt idx="4">
                  <c:v>163</c:v>
                </c:pt>
                <c:pt idx="5">
                  <c:v>198</c:v>
                </c:pt>
                <c:pt idx="6">
                  <c:v>236</c:v>
                </c:pt>
                <c:pt idx="7">
                  <c:v>275</c:v>
                </c:pt>
                <c:pt idx="8">
                  <c:v>316</c:v>
                </c:pt>
                <c:pt idx="9">
                  <c:v>359</c:v>
                </c:pt>
                <c:pt idx="10">
                  <c:v>403</c:v>
                </c:pt>
                <c:pt idx="11">
                  <c:v>449</c:v>
                </c:pt>
                <c:pt idx="12">
                  <c:v>496</c:v>
                </c:pt>
                <c:pt idx="13">
                  <c:v>546</c:v>
                </c:pt>
                <c:pt idx="14">
                  <c:v>597</c:v>
                </c:pt>
                <c:pt idx="15">
                  <c:v>649</c:v>
                </c:pt>
                <c:pt idx="16">
                  <c:v>703</c:v>
                </c:pt>
                <c:pt idx="17">
                  <c:v>759</c:v>
                </c:pt>
                <c:pt idx="18">
                  <c:v>816</c:v>
                </c:pt>
                <c:pt idx="19">
                  <c:v>874</c:v>
                </c:pt>
                <c:pt idx="20">
                  <c:v>935</c:v>
                </c:pt>
                <c:pt idx="21">
                  <c:v>997</c:v>
                </c:pt>
                <c:pt idx="22">
                  <c:v>1060</c:v>
                </c:pt>
                <c:pt idx="23">
                  <c:v>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BB0-4780-BA02-A80F4776A633}"/>
            </c:ext>
          </c:extLst>
        </c:ser>
        <c:ser>
          <c:idx val="1"/>
          <c:order val="1"/>
          <c:tx>
            <c:v>泽珞护盾肌体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-3.861297952984017E-2"/>
                  <c:y val="6.0161688089596384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BB0-4780-BA02-A80F4776A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泽珞护盾肌体!$A$54:$A$77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泽珞护盾肌体!$G$54:$G$77</c:f>
              <c:numCache>
                <c:formatCode>General</c:formatCode>
                <c:ptCount val="24"/>
                <c:pt idx="0">
                  <c:v>72</c:v>
                </c:pt>
                <c:pt idx="1">
                  <c:v>108</c:v>
                </c:pt>
                <c:pt idx="2">
                  <c:v>144</c:v>
                </c:pt>
                <c:pt idx="3">
                  <c:v>180</c:v>
                </c:pt>
                <c:pt idx="4">
                  <c:v>216</c:v>
                </c:pt>
                <c:pt idx="5">
                  <c:v>252</c:v>
                </c:pt>
                <c:pt idx="6">
                  <c:v>288</c:v>
                </c:pt>
                <c:pt idx="7">
                  <c:v>324</c:v>
                </c:pt>
                <c:pt idx="8">
                  <c:v>360</c:v>
                </c:pt>
                <c:pt idx="9">
                  <c:v>396</c:v>
                </c:pt>
                <c:pt idx="10">
                  <c:v>432</c:v>
                </c:pt>
                <c:pt idx="11">
                  <c:v>468</c:v>
                </c:pt>
                <c:pt idx="12">
                  <c:v>504</c:v>
                </c:pt>
                <c:pt idx="13">
                  <c:v>540</c:v>
                </c:pt>
                <c:pt idx="14">
                  <c:v>576</c:v>
                </c:pt>
                <c:pt idx="15">
                  <c:v>612</c:v>
                </c:pt>
                <c:pt idx="16">
                  <c:v>648</c:v>
                </c:pt>
                <c:pt idx="17">
                  <c:v>684</c:v>
                </c:pt>
                <c:pt idx="18">
                  <c:v>720</c:v>
                </c:pt>
                <c:pt idx="19">
                  <c:v>756</c:v>
                </c:pt>
                <c:pt idx="20">
                  <c:v>792</c:v>
                </c:pt>
                <c:pt idx="21">
                  <c:v>828</c:v>
                </c:pt>
                <c:pt idx="22">
                  <c:v>864</c:v>
                </c:pt>
                <c:pt idx="23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BB0-4780-BA02-A80F4776A633}"/>
            </c:ext>
          </c:extLst>
        </c:ser>
        <c:ser>
          <c:idx val="2"/>
          <c:order val="2"/>
          <c:tx>
            <c:v>古代脉冲甲护盾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>
              <a:outerShdw blurRad="50800" dir="5400000" sx="1000" sy="1000" algn="ctr" rotWithShape="0">
                <a:srgbClr val="000000"/>
              </a:outerShdw>
            </a:effectLst>
          </c:spPr>
          <c:marker>
            <c:symbol val="none"/>
          </c:marker>
          <c:dLbls>
            <c:dLbl>
              <c:idx val="18"/>
              <c:layout>
                <c:manualLayout>
                  <c:x val="-8.7398373983739758E-2"/>
                  <c:y val="3.625377643504532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B0-4780-BA02-A80F4776A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泽珞护盾肌体!$A$54:$A$77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古代脉冲甲!$J$54:$J$77</c:f>
              <c:numCache>
                <c:formatCode>General</c:formatCode>
                <c:ptCount val="24"/>
                <c:pt idx="0">
                  <c:v>18</c:v>
                </c:pt>
                <c:pt idx="1">
                  <c:v>27</c:v>
                </c:pt>
                <c:pt idx="2">
                  <c:v>36</c:v>
                </c:pt>
                <c:pt idx="3">
                  <c:v>45</c:v>
                </c:pt>
                <c:pt idx="4">
                  <c:v>54</c:v>
                </c:pt>
                <c:pt idx="5">
                  <c:v>63</c:v>
                </c:pt>
                <c:pt idx="6">
                  <c:v>72</c:v>
                </c:pt>
                <c:pt idx="7">
                  <c:v>81</c:v>
                </c:pt>
                <c:pt idx="8">
                  <c:v>90</c:v>
                </c:pt>
                <c:pt idx="9">
                  <c:v>99</c:v>
                </c:pt>
                <c:pt idx="10">
                  <c:v>108</c:v>
                </c:pt>
                <c:pt idx="11">
                  <c:v>117</c:v>
                </c:pt>
                <c:pt idx="12">
                  <c:v>126</c:v>
                </c:pt>
                <c:pt idx="13">
                  <c:v>135</c:v>
                </c:pt>
                <c:pt idx="14">
                  <c:v>144</c:v>
                </c:pt>
                <c:pt idx="15">
                  <c:v>153</c:v>
                </c:pt>
                <c:pt idx="16">
                  <c:v>162</c:v>
                </c:pt>
                <c:pt idx="17">
                  <c:v>171</c:v>
                </c:pt>
                <c:pt idx="18">
                  <c:v>180</c:v>
                </c:pt>
                <c:pt idx="19">
                  <c:v>189</c:v>
                </c:pt>
                <c:pt idx="20">
                  <c:v>198</c:v>
                </c:pt>
                <c:pt idx="21">
                  <c:v>207</c:v>
                </c:pt>
                <c:pt idx="22">
                  <c:v>216</c:v>
                </c:pt>
                <c:pt idx="23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BB0-4780-BA02-A80F4776A633}"/>
            </c:ext>
          </c:extLst>
        </c:ser>
        <c:ser>
          <c:idx val="3"/>
          <c:order val="3"/>
          <c:tx>
            <c:v>脉冲甲壳护盾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9"/>
              <c:layout>
                <c:manualLayout>
                  <c:x val="1.0162601626016111E-2"/>
                  <c:y val="2.114803625377632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BB0-4780-BA02-A80F4776A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脉冲甲壳!$J$55:$J$78</c:f>
              <c:numCache>
                <c:formatCode>General</c:formatCode>
                <c:ptCount val="24"/>
                <c:pt idx="0">
                  <c:v>18</c:v>
                </c:pt>
                <c:pt idx="1">
                  <c:v>27</c:v>
                </c:pt>
                <c:pt idx="2">
                  <c:v>36</c:v>
                </c:pt>
                <c:pt idx="3">
                  <c:v>45</c:v>
                </c:pt>
                <c:pt idx="4">
                  <c:v>54</c:v>
                </c:pt>
                <c:pt idx="5">
                  <c:v>63</c:v>
                </c:pt>
                <c:pt idx="6">
                  <c:v>72</c:v>
                </c:pt>
                <c:pt idx="7">
                  <c:v>81</c:v>
                </c:pt>
                <c:pt idx="8">
                  <c:v>90</c:v>
                </c:pt>
                <c:pt idx="9">
                  <c:v>99</c:v>
                </c:pt>
                <c:pt idx="10">
                  <c:v>108</c:v>
                </c:pt>
                <c:pt idx="11">
                  <c:v>117</c:v>
                </c:pt>
                <c:pt idx="12">
                  <c:v>126</c:v>
                </c:pt>
                <c:pt idx="13">
                  <c:v>135</c:v>
                </c:pt>
                <c:pt idx="14">
                  <c:v>144</c:v>
                </c:pt>
                <c:pt idx="15">
                  <c:v>153</c:v>
                </c:pt>
                <c:pt idx="16">
                  <c:v>162</c:v>
                </c:pt>
                <c:pt idx="17">
                  <c:v>171</c:v>
                </c:pt>
                <c:pt idx="18">
                  <c:v>180</c:v>
                </c:pt>
                <c:pt idx="19">
                  <c:v>189</c:v>
                </c:pt>
                <c:pt idx="20">
                  <c:v>198</c:v>
                </c:pt>
                <c:pt idx="21">
                  <c:v>207</c:v>
                </c:pt>
                <c:pt idx="22">
                  <c:v>216</c:v>
                </c:pt>
                <c:pt idx="23">
                  <c:v>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BB0-4780-BA02-A80F4776A633}"/>
            </c:ext>
          </c:extLst>
        </c:ser>
        <c:ser>
          <c:idx val="4"/>
          <c:order val="4"/>
          <c:tx>
            <c:v>脉冲甲壳装甲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3.1509346392676524E-2"/>
                  <c:y val="-2.732497561671849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BB0-4780-BA02-A80F4776A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脉冲甲壳!$N$55:$N$78</c:f>
              <c:numCache>
                <c:formatCode>General</c:formatCode>
                <c:ptCount val="24"/>
                <c:pt idx="0">
                  <c:v>2.88</c:v>
                </c:pt>
                <c:pt idx="1">
                  <c:v>4.32</c:v>
                </c:pt>
                <c:pt idx="2">
                  <c:v>5.76</c:v>
                </c:pt>
                <c:pt idx="3">
                  <c:v>7.2</c:v>
                </c:pt>
                <c:pt idx="4">
                  <c:v>8.64</c:v>
                </c:pt>
                <c:pt idx="5">
                  <c:v>10.08</c:v>
                </c:pt>
                <c:pt idx="6">
                  <c:v>11.52</c:v>
                </c:pt>
                <c:pt idx="7">
                  <c:v>12.96</c:v>
                </c:pt>
                <c:pt idx="8">
                  <c:v>14.4</c:v>
                </c:pt>
                <c:pt idx="9">
                  <c:v>15.84</c:v>
                </c:pt>
                <c:pt idx="10">
                  <c:v>17.28</c:v>
                </c:pt>
                <c:pt idx="11">
                  <c:v>18.72</c:v>
                </c:pt>
                <c:pt idx="12">
                  <c:v>20.16</c:v>
                </c:pt>
                <c:pt idx="13">
                  <c:v>21.6</c:v>
                </c:pt>
                <c:pt idx="14">
                  <c:v>23.04</c:v>
                </c:pt>
                <c:pt idx="15">
                  <c:v>24.48</c:v>
                </c:pt>
                <c:pt idx="16">
                  <c:v>25.92</c:v>
                </c:pt>
                <c:pt idx="17">
                  <c:v>27.36</c:v>
                </c:pt>
                <c:pt idx="18">
                  <c:v>28.8</c:v>
                </c:pt>
                <c:pt idx="19">
                  <c:v>30.24</c:v>
                </c:pt>
                <c:pt idx="20">
                  <c:v>31.68</c:v>
                </c:pt>
                <c:pt idx="21">
                  <c:v>33.119999999999997</c:v>
                </c:pt>
                <c:pt idx="22">
                  <c:v>34.56</c:v>
                </c:pt>
                <c:pt idx="2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BB0-4780-BA02-A80F4776A633}"/>
            </c:ext>
          </c:extLst>
        </c:ser>
        <c:ser>
          <c:idx val="5"/>
          <c:order val="5"/>
          <c:tx>
            <c:v>龙鳞甲壳</c:v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B0-4780-BA02-A80F4776A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龙鳞甲壳!$G$54:$G$77</c:f>
              <c:numCache>
                <c:formatCode>General</c:formatCode>
                <c:ptCount val="24"/>
                <c:pt idx="0">
                  <c:v>24</c:v>
                </c:pt>
                <c:pt idx="1">
                  <c:v>36</c:v>
                </c:pt>
                <c:pt idx="2">
                  <c:v>47</c:v>
                </c:pt>
                <c:pt idx="3">
                  <c:v>59</c:v>
                </c:pt>
                <c:pt idx="4">
                  <c:v>71</c:v>
                </c:pt>
                <c:pt idx="5">
                  <c:v>82</c:v>
                </c:pt>
                <c:pt idx="6">
                  <c:v>94</c:v>
                </c:pt>
                <c:pt idx="7">
                  <c:v>106</c:v>
                </c:pt>
                <c:pt idx="8">
                  <c:v>117</c:v>
                </c:pt>
                <c:pt idx="9">
                  <c:v>129</c:v>
                </c:pt>
                <c:pt idx="10">
                  <c:v>141</c:v>
                </c:pt>
                <c:pt idx="11">
                  <c:v>153</c:v>
                </c:pt>
                <c:pt idx="12">
                  <c:v>164</c:v>
                </c:pt>
                <c:pt idx="13">
                  <c:v>176</c:v>
                </c:pt>
                <c:pt idx="14">
                  <c:v>188</c:v>
                </c:pt>
                <c:pt idx="15">
                  <c:v>199</c:v>
                </c:pt>
                <c:pt idx="16">
                  <c:v>211</c:v>
                </c:pt>
                <c:pt idx="17">
                  <c:v>223</c:v>
                </c:pt>
                <c:pt idx="18">
                  <c:v>234</c:v>
                </c:pt>
                <c:pt idx="19">
                  <c:v>246</c:v>
                </c:pt>
                <c:pt idx="20">
                  <c:v>258</c:v>
                </c:pt>
                <c:pt idx="21">
                  <c:v>270</c:v>
                </c:pt>
                <c:pt idx="22">
                  <c:v>281</c:v>
                </c:pt>
                <c:pt idx="23">
                  <c:v>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BB0-4780-BA02-A80F4776A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0722384"/>
        <c:axId val="1260716144"/>
      </c:lineChart>
      <c:catAx>
        <c:axId val="126072238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0716144"/>
        <c:crosses val="autoZero"/>
        <c:auto val="1"/>
        <c:lblAlgn val="ctr"/>
        <c:lblOffset val="100"/>
        <c:noMultiLvlLbl val="0"/>
      </c:catAx>
      <c:valAx>
        <c:axId val="126071614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072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zh-CN" sz="1400" b="0" i="0" u="none" strike="noStrike" kern="1200" cap="all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护盾</a:t>
            </a:r>
            <a:r>
              <a:rPr 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维护费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zh-CN" sz="1400" b="0" i="0" u="none" strike="noStrike" kern="1200" cap="all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小型合金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xVal>
            <c:numRef>
              <c:f>通用指标!$A$2:$A$25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通用指标!$D$2:$D$25</c:f>
              <c:numCache>
                <c:formatCode>General</c:formatCode>
                <c:ptCount val="24"/>
                <c:pt idx="0">
                  <c:v>0.11</c:v>
                </c:pt>
                <c:pt idx="1">
                  <c:v>0.13</c:v>
                </c:pt>
                <c:pt idx="2">
                  <c:v>0.14000000000000001</c:v>
                </c:pt>
                <c:pt idx="3">
                  <c:v>0.15</c:v>
                </c:pt>
                <c:pt idx="4">
                  <c:v>0.16</c:v>
                </c:pt>
                <c:pt idx="5">
                  <c:v>0.17</c:v>
                </c:pt>
                <c:pt idx="6">
                  <c:v>0.18</c:v>
                </c:pt>
                <c:pt idx="7">
                  <c:v>0.19</c:v>
                </c:pt>
                <c:pt idx="8">
                  <c:v>0.21</c:v>
                </c:pt>
                <c:pt idx="9">
                  <c:v>0.22</c:v>
                </c:pt>
                <c:pt idx="10">
                  <c:v>0.23</c:v>
                </c:pt>
                <c:pt idx="11">
                  <c:v>0.24</c:v>
                </c:pt>
                <c:pt idx="12">
                  <c:v>0.25</c:v>
                </c:pt>
                <c:pt idx="13">
                  <c:v>0.26</c:v>
                </c:pt>
                <c:pt idx="14">
                  <c:v>0.27</c:v>
                </c:pt>
                <c:pt idx="15">
                  <c:v>0.28999999999999998</c:v>
                </c:pt>
                <c:pt idx="16">
                  <c:v>0.3</c:v>
                </c:pt>
                <c:pt idx="17">
                  <c:v>0.31</c:v>
                </c:pt>
                <c:pt idx="18">
                  <c:v>0.32</c:v>
                </c:pt>
                <c:pt idx="19">
                  <c:v>0.33</c:v>
                </c:pt>
                <c:pt idx="20">
                  <c:v>0.34</c:v>
                </c:pt>
                <c:pt idx="21">
                  <c:v>0.35</c:v>
                </c:pt>
                <c:pt idx="22">
                  <c:v>0.36</c:v>
                </c:pt>
                <c:pt idx="23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4-4D59-A018-D9C2DC767214}"/>
            </c:ext>
          </c:extLst>
        </c:ser>
        <c:ser>
          <c:idx val="1"/>
          <c:order val="1"/>
          <c:tx>
            <c:v>小型能量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FFC000"/>
              </a:solidFill>
              <a:ln w="9525">
                <a:solidFill>
                  <a:srgbClr val="FFC000"/>
                </a:solidFill>
                <a:round/>
              </a:ln>
              <a:effectLst/>
            </c:spPr>
          </c:marker>
          <c:xVal>
            <c:numRef>
              <c:f>通用指标!$A$2:$A$25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通用指标!$F$2:$F$25</c:f>
              <c:numCache>
                <c:formatCode>General</c:formatCode>
                <c:ptCount val="24"/>
                <c:pt idx="0">
                  <c:v>0.42</c:v>
                </c:pt>
                <c:pt idx="1">
                  <c:v>0.46</c:v>
                </c:pt>
                <c:pt idx="2">
                  <c:v>0.5</c:v>
                </c:pt>
                <c:pt idx="3">
                  <c:v>0.54</c:v>
                </c:pt>
                <c:pt idx="4">
                  <c:v>0.56999999999999995</c:v>
                </c:pt>
                <c:pt idx="5">
                  <c:v>0.61</c:v>
                </c:pt>
                <c:pt idx="6">
                  <c:v>0.65</c:v>
                </c:pt>
                <c:pt idx="7">
                  <c:v>0.69000000000000006</c:v>
                </c:pt>
                <c:pt idx="8">
                  <c:v>0.73</c:v>
                </c:pt>
                <c:pt idx="9">
                  <c:v>0.76</c:v>
                </c:pt>
                <c:pt idx="10">
                  <c:v>0.8</c:v>
                </c:pt>
                <c:pt idx="11">
                  <c:v>0.84</c:v>
                </c:pt>
                <c:pt idx="12">
                  <c:v>0.88</c:v>
                </c:pt>
                <c:pt idx="13">
                  <c:v>0.92</c:v>
                </c:pt>
                <c:pt idx="14">
                  <c:v>0.95</c:v>
                </c:pt>
                <c:pt idx="15">
                  <c:v>0.99</c:v>
                </c:pt>
                <c:pt idx="16">
                  <c:v>1.03</c:v>
                </c:pt>
                <c:pt idx="17">
                  <c:v>1.07</c:v>
                </c:pt>
                <c:pt idx="18">
                  <c:v>1.1100000000000001</c:v>
                </c:pt>
                <c:pt idx="19">
                  <c:v>1.1399999999999999</c:v>
                </c:pt>
                <c:pt idx="20">
                  <c:v>1.18</c:v>
                </c:pt>
                <c:pt idx="21">
                  <c:v>1.22</c:v>
                </c:pt>
                <c:pt idx="22">
                  <c:v>1.26</c:v>
                </c:pt>
                <c:pt idx="23">
                  <c:v>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E4-4D59-A018-D9C2DC767214}"/>
            </c:ext>
          </c:extLst>
        </c:ser>
        <c:ser>
          <c:idx val="2"/>
          <c:order val="2"/>
          <c:tx>
            <c:v>中型合金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xVal>
            <c:numRef>
              <c:f>通用指标!$A$2:$A$25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通用指标!$D$28:$D$51</c:f>
              <c:numCache>
                <c:formatCode>General</c:formatCode>
                <c:ptCount val="24"/>
                <c:pt idx="0">
                  <c:v>0.25</c:v>
                </c:pt>
                <c:pt idx="1">
                  <c:v>0.27</c:v>
                </c:pt>
                <c:pt idx="2">
                  <c:v>0.3</c:v>
                </c:pt>
                <c:pt idx="3">
                  <c:v>0.32</c:v>
                </c:pt>
                <c:pt idx="4">
                  <c:v>0.34</c:v>
                </c:pt>
                <c:pt idx="5">
                  <c:v>0.36</c:v>
                </c:pt>
                <c:pt idx="6">
                  <c:v>0.39</c:v>
                </c:pt>
                <c:pt idx="7">
                  <c:v>0.41</c:v>
                </c:pt>
                <c:pt idx="8">
                  <c:v>0.43</c:v>
                </c:pt>
                <c:pt idx="9">
                  <c:v>0.46</c:v>
                </c:pt>
                <c:pt idx="10">
                  <c:v>0.48</c:v>
                </c:pt>
                <c:pt idx="11">
                  <c:v>0.5</c:v>
                </c:pt>
                <c:pt idx="12">
                  <c:v>0.52</c:v>
                </c:pt>
                <c:pt idx="13">
                  <c:v>0.55000000000000004</c:v>
                </c:pt>
                <c:pt idx="14">
                  <c:v>0.56999999999999995</c:v>
                </c:pt>
                <c:pt idx="15">
                  <c:v>0.59</c:v>
                </c:pt>
                <c:pt idx="16">
                  <c:v>0.62</c:v>
                </c:pt>
                <c:pt idx="17">
                  <c:v>0.64</c:v>
                </c:pt>
                <c:pt idx="18">
                  <c:v>0.66</c:v>
                </c:pt>
                <c:pt idx="19">
                  <c:v>0.68</c:v>
                </c:pt>
                <c:pt idx="20">
                  <c:v>0.71</c:v>
                </c:pt>
                <c:pt idx="21">
                  <c:v>0.73</c:v>
                </c:pt>
                <c:pt idx="22">
                  <c:v>0.75</c:v>
                </c:pt>
                <c:pt idx="23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E4-4D59-A018-D9C2DC767214}"/>
            </c:ext>
          </c:extLst>
        </c:ser>
        <c:ser>
          <c:idx val="3"/>
          <c:order val="3"/>
          <c:tx>
            <c:v>中型能量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FFC000"/>
              </a:solidFill>
              <a:ln w="9525">
                <a:solidFill>
                  <a:srgbClr val="FFC000"/>
                </a:solidFill>
                <a:round/>
              </a:ln>
              <a:effectLst/>
            </c:spPr>
          </c:marker>
          <c:xVal>
            <c:numRef>
              <c:f>通用指标!$A$2:$A$25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通用指标!$F$28:$F$51</c:f>
              <c:numCache>
                <c:formatCode>General</c:formatCode>
                <c:ptCount val="24"/>
                <c:pt idx="0">
                  <c:v>0.84</c:v>
                </c:pt>
                <c:pt idx="1">
                  <c:v>0.92</c:v>
                </c:pt>
                <c:pt idx="2">
                  <c:v>0.99</c:v>
                </c:pt>
                <c:pt idx="3">
                  <c:v>1.07</c:v>
                </c:pt>
                <c:pt idx="4">
                  <c:v>1.1399999999999999</c:v>
                </c:pt>
                <c:pt idx="5">
                  <c:v>1.22</c:v>
                </c:pt>
                <c:pt idx="6">
                  <c:v>1.3</c:v>
                </c:pt>
                <c:pt idx="7">
                  <c:v>1.37</c:v>
                </c:pt>
                <c:pt idx="8">
                  <c:v>1.45</c:v>
                </c:pt>
                <c:pt idx="9">
                  <c:v>1.52</c:v>
                </c:pt>
                <c:pt idx="10">
                  <c:v>1.6</c:v>
                </c:pt>
                <c:pt idx="11">
                  <c:v>1.68</c:v>
                </c:pt>
                <c:pt idx="12">
                  <c:v>1.75</c:v>
                </c:pt>
                <c:pt idx="13">
                  <c:v>1.83</c:v>
                </c:pt>
                <c:pt idx="14">
                  <c:v>1.9</c:v>
                </c:pt>
                <c:pt idx="15">
                  <c:v>1.98</c:v>
                </c:pt>
                <c:pt idx="16">
                  <c:v>2.0599999999999996</c:v>
                </c:pt>
                <c:pt idx="17">
                  <c:v>2.13</c:v>
                </c:pt>
                <c:pt idx="18">
                  <c:v>2.21</c:v>
                </c:pt>
                <c:pt idx="19">
                  <c:v>2.2799999999999998</c:v>
                </c:pt>
                <c:pt idx="20">
                  <c:v>2.36</c:v>
                </c:pt>
                <c:pt idx="21">
                  <c:v>2.44</c:v>
                </c:pt>
                <c:pt idx="22">
                  <c:v>2.5099999999999998</c:v>
                </c:pt>
                <c:pt idx="23">
                  <c:v>2.59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E4-4D59-A018-D9C2DC767214}"/>
            </c:ext>
          </c:extLst>
        </c:ser>
        <c:ser>
          <c:idx val="4"/>
          <c:order val="4"/>
          <c:tx>
            <c:v>大型合金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xVal>
            <c:numRef>
              <c:f>通用指标!$A$2:$A$25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通用指标!$D$54:$D$77</c:f>
              <c:numCache>
                <c:formatCode>General</c:formatCode>
                <c:ptCount val="24"/>
                <c:pt idx="0">
                  <c:v>0.5</c:v>
                </c:pt>
                <c:pt idx="1">
                  <c:v>0.55000000000000004</c:v>
                </c:pt>
                <c:pt idx="2">
                  <c:v>0.59</c:v>
                </c:pt>
                <c:pt idx="3">
                  <c:v>0.64</c:v>
                </c:pt>
                <c:pt idx="4">
                  <c:v>0.68</c:v>
                </c:pt>
                <c:pt idx="5">
                  <c:v>0.73</c:v>
                </c:pt>
                <c:pt idx="6">
                  <c:v>0.78</c:v>
                </c:pt>
                <c:pt idx="7">
                  <c:v>0.82</c:v>
                </c:pt>
                <c:pt idx="8">
                  <c:v>0.87</c:v>
                </c:pt>
                <c:pt idx="9">
                  <c:v>0.91</c:v>
                </c:pt>
                <c:pt idx="10">
                  <c:v>0.96</c:v>
                </c:pt>
                <c:pt idx="11">
                  <c:v>1</c:v>
                </c:pt>
                <c:pt idx="12">
                  <c:v>1.05</c:v>
                </c:pt>
                <c:pt idx="13">
                  <c:v>1.0900000000000001</c:v>
                </c:pt>
                <c:pt idx="14">
                  <c:v>1.1399999999999999</c:v>
                </c:pt>
                <c:pt idx="15">
                  <c:v>1.19</c:v>
                </c:pt>
                <c:pt idx="16">
                  <c:v>1.23</c:v>
                </c:pt>
                <c:pt idx="17">
                  <c:v>1.28</c:v>
                </c:pt>
                <c:pt idx="18">
                  <c:v>1.32</c:v>
                </c:pt>
                <c:pt idx="19">
                  <c:v>1.37</c:v>
                </c:pt>
                <c:pt idx="20">
                  <c:v>1.41</c:v>
                </c:pt>
                <c:pt idx="21">
                  <c:v>1.46</c:v>
                </c:pt>
                <c:pt idx="22">
                  <c:v>1.5</c:v>
                </c:pt>
                <c:pt idx="23">
                  <c:v>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E4-4D59-A018-D9C2DC767214}"/>
            </c:ext>
          </c:extLst>
        </c:ser>
        <c:ser>
          <c:idx val="5"/>
          <c:order val="5"/>
          <c:tx>
            <c:v>大型能量</c:v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solidFill>
                <a:srgbClr val="FFC000"/>
              </a:solidFill>
              <a:ln w="9525">
                <a:solidFill>
                  <a:srgbClr val="FFC000"/>
                </a:solidFill>
                <a:round/>
              </a:ln>
              <a:effectLst/>
            </c:spPr>
          </c:marker>
          <c:xVal>
            <c:numRef>
              <c:f>通用指标!$A$2:$A$25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通用指标!$F$54:$F$77</c:f>
              <c:numCache>
                <c:formatCode>General</c:formatCode>
                <c:ptCount val="24"/>
                <c:pt idx="0">
                  <c:v>1.68</c:v>
                </c:pt>
                <c:pt idx="1">
                  <c:v>1.83</c:v>
                </c:pt>
                <c:pt idx="2">
                  <c:v>1.98</c:v>
                </c:pt>
                <c:pt idx="3">
                  <c:v>2.13</c:v>
                </c:pt>
                <c:pt idx="4">
                  <c:v>2.2799999999999998</c:v>
                </c:pt>
                <c:pt idx="5">
                  <c:v>2.44</c:v>
                </c:pt>
                <c:pt idx="6">
                  <c:v>2.59</c:v>
                </c:pt>
                <c:pt idx="7">
                  <c:v>2.7399999999999998</c:v>
                </c:pt>
                <c:pt idx="8">
                  <c:v>2.8899999999999997</c:v>
                </c:pt>
                <c:pt idx="9">
                  <c:v>3.04</c:v>
                </c:pt>
                <c:pt idx="10">
                  <c:v>3.1999999999999997</c:v>
                </c:pt>
                <c:pt idx="11">
                  <c:v>3.3499999999999996</c:v>
                </c:pt>
                <c:pt idx="12">
                  <c:v>3.5</c:v>
                </c:pt>
                <c:pt idx="13">
                  <c:v>3.65</c:v>
                </c:pt>
                <c:pt idx="14">
                  <c:v>3.8</c:v>
                </c:pt>
                <c:pt idx="15">
                  <c:v>3.96</c:v>
                </c:pt>
                <c:pt idx="16">
                  <c:v>4.1099999999999994</c:v>
                </c:pt>
                <c:pt idx="17">
                  <c:v>4.26</c:v>
                </c:pt>
                <c:pt idx="18">
                  <c:v>4.41</c:v>
                </c:pt>
                <c:pt idx="19">
                  <c:v>4.5599999999999996</c:v>
                </c:pt>
                <c:pt idx="20">
                  <c:v>4.72</c:v>
                </c:pt>
                <c:pt idx="21">
                  <c:v>4.87</c:v>
                </c:pt>
                <c:pt idx="22">
                  <c:v>5.0199999999999996</c:v>
                </c:pt>
                <c:pt idx="23">
                  <c:v>5.17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E4-4D59-A018-D9C2DC767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33567"/>
        <c:axId val="146934047"/>
      </c:scatterChart>
      <c:valAx>
        <c:axId val="146933567"/>
        <c:scaling>
          <c:orientation val="minMax"/>
          <c:max val="25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934047"/>
        <c:crosses val="autoZero"/>
        <c:crossBetween val="midCat"/>
      </c:valAx>
      <c:valAx>
        <c:axId val="14693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933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舰船减伤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6201881014873143E-2"/>
          <c:y val="0.14579870224555264"/>
          <c:w val="0.8964746281714786"/>
          <c:h val="0.60667395742198893"/>
        </c:manualLayout>
      </c:layout>
      <c:lineChart>
        <c:grouping val="stacked"/>
        <c:varyColors val="0"/>
        <c:ser>
          <c:idx val="0"/>
          <c:order val="0"/>
          <c:tx>
            <c:v>小型组件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通用指标!$A$2:$A$25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通用指标!$L$2:$L$25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14-4CBB-8423-497CA8838942}"/>
            </c:ext>
          </c:extLst>
        </c:ser>
        <c:ser>
          <c:idx val="1"/>
          <c:order val="1"/>
          <c:tx>
            <c:v>中型组件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通用指标!$A$2:$A$25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通用指标!$L$28:$L$51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4-4CBB-8423-497CA8838942}"/>
            </c:ext>
          </c:extLst>
        </c:ser>
        <c:ser>
          <c:idx val="2"/>
          <c:order val="2"/>
          <c:tx>
            <c:v>大型组件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通用指标!$A$2:$A$25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通用指标!$L$54:$L$77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14-4CBB-8423-497CA8838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796271"/>
        <c:axId val="436794831"/>
      </c:lineChart>
      <c:catAx>
        <c:axId val="43679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6794831"/>
        <c:crosses val="autoZero"/>
        <c:auto val="1"/>
        <c:lblAlgn val="ctr"/>
        <c:lblOffset val="100"/>
        <c:noMultiLvlLbl val="0"/>
      </c:catAx>
      <c:valAx>
        <c:axId val="43679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679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装甲维护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8392610126005712E-2"/>
          <c:y val="0.25299429009006008"/>
          <c:w val="0.85797938702793553"/>
          <c:h val="0.61432599842652358"/>
        </c:manualLayout>
      </c:layout>
      <c:scatterChart>
        <c:scatterStyle val="lineMarker"/>
        <c:varyColors val="0"/>
        <c:ser>
          <c:idx val="0"/>
          <c:order val="0"/>
          <c:tx>
            <c:v>小型合金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通用指标!$H$2:$H$25</c:f>
              <c:numCache>
                <c:formatCode>General</c:formatCode>
                <c:ptCount val="24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0.14000000000000001</c:v>
                </c:pt>
                <c:pt idx="4">
                  <c:v>0.15</c:v>
                </c:pt>
                <c:pt idx="5">
                  <c:v>0.16</c:v>
                </c:pt>
                <c:pt idx="6">
                  <c:v>0.17</c:v>
                </c:pt>
                <c:pt idx="7">
                  <c:v>0.18</c:v>
                </c:pt>
                <c:pt idx="8">
                  <c:v>0.19</c:v>
                </c:pt>
                <c:pt idx="9">
                  <c:v>0.2</c:v>
                </c:pt>
                <c:pt idx="10">
                  <c:v>0.21</c:v>
                </c:pt>
                <c:pt idx="11">
                  <c:v>0.22</c:v>
                </c:pt>
                <c:pt idx="12">
                  <c:v>0.23</c:v>
                </c:pt>
                <c:pt idx="13">
                  <c:v>0.24</c:v>
                </c:pt>
                <c:pt idx="14">
                  <c:v>0.26</c:v>
                </c:pt>
                <c:pt idx="15">
                  <c:v>0.27</c:v>
                </c:pt>
                <c:pt idx="16">
                  <c:v>0.28000000000000003</c:v>
                </c:pt>
                <c:pt idx="17">
                  <c:v>0.28999999999999998</c:v>
                </c:pt>
                <c:pt idx="18">
                  <c:v>0.3</c:v>
                </c:pt>
                <c:pt idx="19">
                  <c:v>0.31</c:v>
                </c:pt>
                <c:pt idx="20">
                  <c:v>0.32</c:v>
                </c:pt>
                <c:pt idx="21">
                  <c:v>0.33</c:v>
                </c:pt>
                <c:pt idx="22">
                  <c:v>0.34</c:v>
                </c:pt>
                <c:pt idx="23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8-40D3-B28F-84C1E75A9A59}"/>
            </c:ext>
          </c:extLst>
        </c:ser>
        <c:ser>
          <c:idx val="1"/>
          <c:order val="1"/>
          <c:tx>
            <c:v>小型能量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通用指标!$J$2:$J$25</c:f>
              <c:numCache>
                <c:formatCode>General</c:formatCode>
                <c:ptCount val="24"/>
                <c:pt idx="0">
                  <c:v>0.56000000000000005</c:v>
                </c:pt>
                <c:pt idx="1">
                  <c:v>0.61</c:v>
                </c:pt>
                <c:pt idx="2">
                  <c:v>0.66</c:v>
                </c:pt>
                <c:pt idx="3">
                  <c:v>0.71</c:v>
                </c:pt>
                <c:pt idx="4">
                  <c:v>0.77</c:v>
                </c:pt>
                <c:pt idx="5">
                  <c:v>0.82</c:v>
                </c:pt>
                <c:pt idx="6">
                  <c:v>0.87</c:v>
                </c:pt>
                <c:pt idx="7">
                  <c:v>0.92</c:v>
                </c:pt>
                <c:pt idx="8">
                  <c:v>0.97</c:v>
                </c:pt>
                <c:pt idx="9">
                  <c:v>1.02</c:v>
                </c:pt>
                <c:pt idx="10">
                  <c:v>1.07</c:v>
                </c:pt>
                <c:pt idx="11">
                  <c:v>1.1200000000000001</c:v>
                </c:pt>
                <c:pt idx="12">
                  <c:v>1.17</c:v>
                </c:pt>
                <c:pt idx="13">
                  <c:v>1.22</c:v>
                </c:pt>
                <c:pt idx="14">
                  <c:v>1.28</c:v>
                </c:pt>
                <c:pt idx="15">
                  <c:v>1.33</c:v>
                </c:pt>
                <c:pt idx="16">
                  <c:v>1.38</c:v>
                </c:pt>
                <c:pt idx="17">
                  <c:v>1.43</c:v>
                </c:pt>
                <c:pt idx="18">
                  <c:v>1.48</c:v>
                </c:pt>
                <c:pt idx="19">
                  <c:v>1.53</c:v>
                </c:pt>
                <c:pt idx="20">
                  <c:v>1.58</c:v>
                </c:pt>
                <c:pt idx="21">
                  <c:v>1.63</c:v>
                </c:pt>
                <c:pt idx="22">
                  <c:v>1.68</c:v>
                </c:pt>
                <c:pt idx="23">
                  <c:v>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B8-40D3-B28F-84C1E75A9A59}"/>
            </c:ext>
          </c:extLst>
        </c:ser>
        <c:ser>
          <c:idx val="2"/>
          <c:order val="2"/>
          <c:tx>
            <c:v>中型合金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通用指标!$H$28:$H$51</c:f>
              <c:numCache>
                <c:formatCode>General</c:formatCode>
                <c:ptCount val="24"/>
                <c:pt idx="0">
                  <c:v>0.22</c:v>
                </c:pt>
                <c:pt idx="1">
                  <c:v>0.24</c:v>
                </c:pt>
                <c:pt idx="2">
                  <c:v>0.26</c:v>
                </c:pt>
                <c:pt idx="3">
                  <c:v>0.28000000000000003</c:v>
                </c:pt>
                <c:pt idx="4">
                  <c:v>0.3</c:v>
                </c:pt>
                <c:pt idx="5">
                  <c:v>0.32</c:v>
                </c:pt>
                <c:pt idx="6">
                  <c:v>0.35</c:v>
                </c:pt>
                <c:pt idx="7">
                  <c:v>0.37</c:v>
                </c:pt>
                <c:pt idx="8">
                  <c:v>0.39</c:v>
                </c:pt>
                <c:pt idx="9">
                  <c:v>0.41</c:v>
                </c:pt>
                <c:pt idx="10">
                  <c:v>0.43</c:v>
                </c:pt>
                <c:pt idx="11">
                  <c:v>0.45</c:v>
                </c:pt>
                <c:pt idx="12">
                  <c:v>0.47</c:v>
                </c:pt>
                <c:pt idx="13">
                  <c:v>0.49</c:v>
                </c:pt>
                <c:pt idx="14">
                  <c:v>0.51</c:v>
                </c:pt>
                <c:pt idx="15">
                  <c:v>0.53</c:v>
                </c:pt>
                <c:pt idx="16">
                  <c:v>0.55000000000000004</c:v>
                </c:pt>
                <c:pt idx="17">
                  <c:v>0.56999999999999995</c:v>
                </c:pt>
                <c:pt idx="18">
                  <c:v>0.59</c:v>
                </c:pt>
                <c:pt idx="19">
                  <c:v>0.61</c:v>
                </c:pt>
                <c:pt idx="20">
                  <c:v>0.63</c:v>
                </c:pt>
                <c:pt idx="21">
                  <c:v>0.65</c:v>
                </c:pt>
                <c:pt idx="22">
                  <c:v>0.67</c:v>
                </c:pt>
                <c:pt idx="23">
                  <c:v>0.69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B8-40D3-B28F-84C1E75A9A59}"/>
            </c:ext>
          </c:extLst>
        </c:ser>
        <c:ser>
          <c:idx val="3"/>
          <c:order val="3"/>
          <c:tx>
            <c:v>中型能量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通用指标!$J$28:$J$51</c:f>
              <c:numCache>
                <c:formatCode>General</c:formatCode>
                <c:ptCount val="24"/>
                <c:pt idx="0">
                  <c:v>1.1200000000000001</c:v>
                </c:pt>
                <c:pt idx="1">
                  <c:v>1.22</c:v>
                </c:pt>
                <c:pt idx="2">
                  <c:v>1.33</c:v>
                </c:pt>
                <c:pt idx="3">
                  <c:v>1.43</c:v>
                </c:pt>
                <c:pt idx="4">
                  <c:v>1.53</c:v>
                </c:pt>
                <c:pt idx="5">
                  <c:v>1.63</c:v>
                </c:pt>
                <c:pt idx="6">
                  <c:v>1.73</c:v>
                </c:pt>
                <c:pt idx="7">
                  <c:v>1.84</c:v>
                </c:pt>
                <c:pt idx="8">
                  <c:v>1.94</c:v>
                </c:pt>
                <c:pt idx="9">
                  <c:v>2.04</c:v>
                </c:pt>
                <c:pt idx="10">
                  <c:v>2.14</c:v>
                </c:pt>
                <c:pt idx="11">
                  <c:v>2.2400000000000002</c:v>
                </c:pt>
                <c:pt idx="12">
                  <c:v>2.35</c:v>
                </c:pt>
                <c:pt idx="13">
                  <c:v>2.4500000000000002</c:v>
                </c:pt>
                <c:pt idx="14">
                  <c:v>2.5499999999999998</c:v>
                </c:pt>
                <c:pt idx="15">
                  <c:v>2.65</c:v>
                </c:pt>
                <c:pt idx="16">
                  <c:v>2.75</c:v>
                </c:pt>
                <c:pt idx="17">
                  <c:v>2.86</c:v>
                </c:pt>
                <c:pt idx="18">
                  <c:v>2.96</c:v>
                </c:pt>
                <c:pt idx="19">
                  <c:v>3.06</c:v>
                </c:pt>
                <c:pt idx="20">
                  <c:v>3.16</c:v>
                </c:pt>
                <c:pt idx="21">
                  <c:v>3.26</c:v>
                </c:pt>
                <c:pt idx="22">
                  <c:v>3.37</c:v>
                </c:pt>
                <c:pt idx="23">
                  <c:v>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B8-40D3-B28F-84C1E75A9A59}"/>
            </c:ext>
          </c:extLst>
        </c:ser>
        <c:ser>
          <c:idx val="4"/>
          <c:order val="4"/>
          <c:tx>
            <c:v>大型合金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通用指标!$H$54:$H$77</c:f>
              <c:numCache>
                <c:formatCode>General</c:formatCode>
                <c:ptCount val="24"/>
                <c:pt idx="0">
                  <c:v>0.45</c:v>
                </c:pt>
                <c:pt idx="1">
                  <c:v>0.49</c:v>
                </c:pt>
                <c:pt idx="2">
                  <c:v>0.53</c:v>
                </c:pt>
                <c:pt idx="3">
                  <c:v>0.56999999999999995</c:v>
                </c:pt>
                <c:pt idx="4">
                  <c:v>0.61</c:v>
                </c:pt>
                <c:pt idx="5">
                  <c:v>0.65</c:v>
                </c:pt>
                <c:pt idx="6">
                  <c:v>0.69</c:v>
                </c:pt>
                <c:pt idx="7">
                  <c:v>0.73</c:v>
                </c:pt>
                <c:pt idx="8">
                  <c:v>0.77</c:v>
                </c:pt>
                <c:pt idx="9">
                  <c:v>0.81</c:v>
                </c:pt>
                <c:pt idx="10">
                  <c:v>0.85</c:v>
                </c:pt>
                <c:pt idx="11">
                  <c:v>0.89</c:v>
                </c:pt>
                <c:pt idx="12">
                  <c:v>0.93</c:v>
                </c:pt>
                <c:pt idx="13">
                  <c:v>0.97</c:v>
                </c:pt>
                <c:pt idx="14">
                  <c:v>1.01</c:v>
                </c:pt>
                <c:pt idx="15">
                  <c:v>1.05</c:v>
                </c:pt>
                <c:pt idx="16">
                  <c:v>1.0900000000000001</c:v>
                </c:pt>
                <c:pt idx="17">
                  <c:v>1.1299999999999999</c:v>
                </c:pt>
                <c:pt idx="18">
                  <c:v>1.17</c:v>
                </c:pt>
                <c:pt idx="19">
                  <c:v>1.22</c:v>
                </c:pt>
                <c:pt idx="20">
                  <c:v>1.26</c:v>
                </c:pt>
                <c:pt idx="21">
                  <c:v>1.3</c:v>
                </c:pt>
                <c:pt idx="22">
                  <c:v>1.34</c:v>
                </c:pt>
                <c:pt idx="23">
                  <c:v>1.38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B8-40D3-B28F-84C1E75A9A59}"/>
            </c:ext>
          </c:extLst>
        </c:ser>
        <c:ser>
          <c:idx val="5"/>
          <c:order val="5"/>
          <c:tx>
            <c:v>大型能量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xVal>
          <c:yVal>
            <c:numRef>
              <c:f>通用指标!$J$54:$J$77</c:f>
              <c:numCache>
                <c:formatCode>General</c:formatCode>
                <c:ptCount val="24"/>
                <c:pt idx="0">
                  <c:v>2.23</c:v>
                </c:pt>
                <c:pt idx="1">
                  <c:v>2.44</c:v>
                </c:pt>
                <c:pt idx="2">
                  <c:v>2.64</c:v>
                </c:pt>
                <c:pt idx="3">
                  <c:v>2.84</c:v>
                </c:pt>
                <c:pt idx="4">
                  <c:v>3.05</c:v>
                </c:pt>
                <c:pt idx="5">
                  <c:v>3.25</c:v>
                </c:pt>
                <c:pt idx="6">
                  <c:v>3.45</c:v>
                </c:pt>
                <c:pt idx="7">
                  <c:v>3.65</c:v>
                </c:pt>
                <c:pt idx="8">
                  <c:v>3.86</c:v>
                </c:pt>
                <c:pt idx="9">
                  <c:v>4.0599999999999996</c:v>
                </c:pt>
                <c:pt idx="10">
                  <c:v>4.26</c:v>
                </c:pt>
                <c:pt idx="11">
                  <c:v>4.47</c:v>
                </c:pt>
                <c:pt idx="12">
                  <c:v>4.67</c:v>
                </c:pt>
                <c:pt idx="13">
                  <c:v>4.87</c:v>
                </c:pt>
                <c:pt idx="14">
                  <c:v>5.08</c:v>
                </c:pt>
                <c:pt idx="15">
                  <c:v>5.28</c:v>
                </c:pt>
                <c:pt idx="16">
                  <c:v>5.48</c:v>
                </c:pt>
                <c:pt idx="17">
                  <c:v>5.68</c:v>
                </c:pt>
                <c:pt idx="18">
                  <c:v>5.89</c:v>
                </c:pt>
                <c:pt idx="19">
                  <c:v>6.09</c:v>
                </c:pt>
                <c:pt idx="20">
                  <c:v>6.29</c:v>
                </c:pt>
                <c:pt idx="21">
                  <c:v>6.5</c:v>
                </c:pt>
                <c:pt idx="22">
                  <c:v>6.7</c:v>
                </c:pt>
                <c:pt idx="23">
                  <c:v>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B8-40D3-B28F-84C1E75A9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626623"/>
        <c:axId val="870643423"/>
      </c:scatterChart>
      <c:valAx>
        <c:axId val="870626623"/>
        <c:scaling>
          <c:orientation val="minMax"/>
          <c:max val="25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643423"/>
        <c:crosses val="autoZero"/>
        <c:crossBetween val="midCat"/>
      </c:valAx>
      <c:valAx>
        <c:axId val="87064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6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灵能护盾承受值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小型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灵能盾!$A$2:$A$25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灵能盾!$E$2:$E$25</c:f>
              <c:numCache>
                <c:formatCode>General</c:formatCode>
                <c:ptCount val="24"/>
                <c:pt idx="0">
                  <c:v>800</c:v>
                </c:pt>
                <c:pt idx="1">
                  <c:v>1200</c:v>
                </c:pt>
                <c:pt idx="2">
                  <c:v>1600</c:v>
                </c:pt>
                <c:pt idx="3">
                  <c:v>2000</c:v>
                </c:pt>
                <c:pt idx="4">
                  <c:v>2400</c:v>
                </c:pt>
                <c:pt idx="5">
                  <c:v>2800</c:v>
                </c:pt>
                <c:pt idx="6">
                  <c:v>3200</c:v>
                </c:pt>
                <c:pt idx="7">
                  <c:v>3600</c:v>
                </c:pt>
                <c:pt idx="8">
                  <c:v>4000</c:v>
                </c:pt>
                <c:pt idx="9">
                  <c:v>4400</c:v>
                </c:pt>
                <c:pt idx="10">
                  <c:v>4800</c:v>
                </c:pt>
                <c:pt idx="11">
                  <c:v>5200</c:v>
                </c:pt>
                <c:pt idx="12">
                  <c:v>5600</c:v>
                </c:pt>
                <c:pt idx="13">
                  <c:v>6000</c:v>
                </c:pt>
                <c:pt idx="14">
                  <c:v>6400</c:v>
                </c:pt>
                <c:pt idx="15">
                  <c:v>6800</c:v>
                </c:pt>
                <c:pt idx="16">
                  <c:v>7200</c:v>
                </c:pt>
                <c:pt idx="17">
                  <c:v>7600</c:v>
                </c:pt>
                <c:pt idx="18">
                  <c:v>8000</c:v>
                </c:pt>
                <c:pt idx="19">
                  <c:v>8400</c:v>
                </c:pt>
                <c:pt idx="20">
                  <c:v>8800</c:v>
                </c:pt>
                <c:pt idx="21">
                  <c:v>9200</c:v>
                </c:pt>
                <c:pt idx="22">
                  <c:v>9600</c:v>
                </c:pt>
                <c:pt idx="23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6-4BB3-93CC-79F14AA12507}"/>
            </c:ext>
          </c:extLst>
        </c:ser>
        <c:ser>
          <c:idx val="1"/>
          <c:order val="1"/>
          <c:tx>
            <c:v>中型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灵能盾!$A$2:$A$25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灵能盾!$E$28:$E$51</c:f>
              <c:numCache>
                <c:formatCode>General</c:formatCode>
                <c:ptCount val="24"/>
                <c:pt idx="0">
                  <c:v>2400</c:v>
                </c:pt>
                <c:pt idx="1">
                  <c:v>3600</c:v>
                </c:pt>
                <c:pt idx="2">
                  <c:v>4800</c:v>
                </c:pt>
                <c:pt idx="3">
                  <c:v>6000</c:v>
                </c:pt>
                <c:pt idx="4">
                  <c:v>7200</c:v>
                </c:pt>
                <c:pt idx="5">
                  <c:v>8400</c:v>
                </c:pt>
                <c:pt idx="6">
                  <c:v>9600</c:v>
                </c:pt>
                <c:pt idx="7">
                  <c:v>10800</c:v>
                </c:pt>
                <c:pt idx="8">
                  <c:v>12000</c:v>
                </c:pt>
                <c:pt idx="9">
                  <c:v>13200</c:v>
                </c:pt>
                <c:pt idx="10">
                  <c:v>14400</c:v>
                </c:pt>
                <c:pt idx="11">
                  <c:v>15600</c:v>
                </c:pt>
                <c:pt idx="12">
                  <c:v>16800</c:v>
                </c:pt>
                <c:pt idx="13">
                  <c:v>18000</c:v>
                </c:pt>
                <c:pt idx="14">
                  <c:v>19200</c:v>
                </c:pt>
                <c:pt idx="15">
                  <c:v>20400</c:v>
                </c:pt>
                <c:pt idx="16">
                  <c:v>21600</c:v>
                </c:pt>
                <c:pt idx="17">
                  <c:v>22800</c:v>
                </c:pt>
                <c:pt idx="18">
                  <c:v>24000</c:v>
                </c:pt>
                <c:pt idx="19">
                  <c:v>25200</c:v>
                </c:pt>
                <c:pt idx="20">
                  <c:v>26400</c:v>
                </c:pt>
                <c:pt idx="21">
                  <c:v>27600</c:v>
                </c:pt>
                <c:pt idx="22">
                  <c:v>28800</c:v>
                </c:pt>
                <c:pt idx="2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6-4BB3-93CC-79F14AA12507}"/>
            </c:ext>
          </c:extLst>
        </c:ser>
        <c:ser>
          <c:idx val="2"/>
          <c:order val="2"/>
          <c:tx>
            <c:v>大型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灵能盾!$A$2:$A$25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灵能盾!$E$54:$E$77</c:f>
              <c:numCache>
                <c:formatCode>General</c:formatCode>
                <c:ptCount val="24"/>
                <c:pt idx="0">
                  <c:v>7200</c:v>
                </c:pt>
                <c:pt idx="1">
                  <c:v>10800</c:v>
                </c:pt>
                <c:pt idx="2">
                  <c:v>14400</c:v>
                </c:pt>
                <c:pt idx="3">
                  <c:v>18000</c:v>
                </c:pt>
                <c:pt idx="4">
                  <c:v>21600</c:v>
                </c:pt>
                <c:pt idx="5">
                  <c:v>25200</c:v>
                </c:pt>
                <c:pt idx="6">
                  <c:v>28800</c:v>
                </c:pt>
                <c:pt idx="7">
                  <c:v>32400</c:v>
                </c:pt>
                <c:pt idx="8">
                  <c:v>36000</c:v>
                </c:pt>
                <c:pt idx="9">
                  <c:v>39600</c:v>
                </c:pt>
                <c:pt idx="10">
                  <c:v>43200</c:v>
                </c:pt>
                <c:pt idx="11">
                  <c:v>46800</c:v>
                </c:pt>
                <c:pt idx="12">
                  <c:v>50400</c:v>
                </c:pt>
                <c:pt idx="13">
                  <c:v>54000</c:v>
                </c:pt>
                <c:pt idx="14">
                  <c:v>57600</c:v>
                </c:pt>
                <c:pt idx="15">
                  <c:v>61200</c:v>
                </c:pt>
                <c:pt idx="16">
                  <c:v>64800</c:v>
                </c:pt>
                <c:pt idx="17">
                  <c:v>68400</c:v>
                </c:pt>
                <c:pt idx="18">
                  <c:v>72000</c:v>
                </c:pt>
                <c:pt idx="19">
                  <c:v>75600</c:v>
                </c:pt>
                <c:pt idx="20">
                  <c:v>79200</c:v>
                </c:pt>
                <c:pt idx="21">
                  <c:v>82800</c:v>
                </c:pt>
                <c:pt idx="22">
                  <c:v>86400</c:v>
                </c:pt>
                <c:pt idx="2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6-4BB3-93CC-79F14AA12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2737567"/>
        <c:axId val="692732287"/>
      </c:barChart>
      <c:catAx>
        <c:axId val="6927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2732287"/>
        <c:crosses val="autoZero"/>
        <c:auto val="1"/>
        <c:lblAlgn val="ctr"/>
        <c:lblOffset val="100"/>
        <c:noMultiLvlLbl val="0"/>
      </c:catAx>
      <c:valAx>
        <c:axId val="6927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273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每日灵能护盾回复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小型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灵能盾!$A$2:$A$25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灵能盾!$K$2:$K$25</c:f>
              <c:numCache>
                <c:formatCode>General</c:formatCode>
                <c:ptCount val="24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27</c:v>
                </c:pt>
                <c:pt idx="7">
                  <c:v>31</c:v>
                </c:pt>
                <c:pt idx="8">
                  <c:v>36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56</c:v>
                </c:pt>
                <c:pt idx="13">
                  <c:v>61</c:v>
                </c:pt>
                <c:pt idx="14">
                  <c:v>67</c:v>
                </c:pt>
                <c:pt idx="15">
                  <c:v>73</c:v>
                </c:pt>
                <c:pt idx="16">
                  <c:v>79</c:v>
                </c:pt>
                <c:pt idx="17">
                  <c:v>85</c:v>
                </c:pt>
                <c:pt idx="18">
                  <c:v>91</c:v>
                </c:pt>
                <c:pt idx="19">
                  <c:v>98</c:v>
                </c:pt>
                <c:pt idx="20">
                  <c:v>104</c:v>
                </c:pt>
                <c:pt idx="21">
                  <c:v>111</c:v>
                </c:pt>
                <c:pt idx="22">
                  <c:v>118</c:v>
                </c:pt>
                <c:pt idx="23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B-4141-9EC3-546FE360F8EA}"/>
            </c:ext>
          </c:extLst>
        </c:ser>
        <c:ser>
          <c:idx val="1"/>
          <c:order val="1"/>
          <c:tx>
            <c:v>中型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灵能盾!$A$2:$A$25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灵能盾!$K$28:$K$51</c:f>
              <c:numCache>
                <c:formatCode>General</c:formatCode>
                <c:ptCount val="24"/>
                <c:pt idx="0">
                  <c:v>14</c:v>
                </c:pt>
                <c:pt idx="1">
                  <c:v>23</c:v>
                </c:pt>
                <c:pt idx="2">
                  <c:v>33</c:v>
                </c:pt>
                <c:pt idx="3">
                  <c:v>43</c:v>
                </c:pt>
                <c:pt idx="4">
                  <c:v>55</c:v>
                </c:pt>
                <c:pt idx="5">
                  <c:v>66</c:v>
                </c:pt>
                <c:pt idx="6">
                  <c:v>79</c:v>
                </c:pt>
                <c:pt idx="7">
                  <c:v>92</c:v>
                </c:pt>
                <c:pt idx="8">
                  <c:v>106</c:v>
                </c:pt>
                <c:pt idx="9">
                  <c:v>120</c:v>
                </c:pt>
                <c:pt idx="10">
                  <c:v>135</c:v>
                </c:pt>
                <c:pt idx="11">
                  <c:v>150</c:v>
                </c:pt>
                <c:pt idx="12">
                  <c:v>166</c:v>
                </c:pt>
                <c:pt idx="13">
                  <c:v>182</c:v>
                </c:pt>
                <c:pt idx="14">
                  <c:v>199</c:v>
                </c:pt>
                <c:pt idx="15">
                  <c:v>217</c:v>
                </c:pt>
                <c:pt idx="16">
                  <c:v>235</c:v>
                </c:pt>
                <c:pt idx="17">
                  <c:v>253</c:v>
                </c:pt>
                <c:pt idx="18">
                  <c:v>272</c:v>
                </c:pt>
                <c:pt idx="19">
                  <c:v>292</c:v>
                </c:pt>
                <c:pt idx="20">
                  <c:v>312</c:v>
                </c:pt>
                <c:pt idx="21">
                  <c:v>333</c:v>
                </c:pt>
                <c:pt idx="22">
                  <c:v>354</c:v>
                </c:pt>
                <c:pt idx="23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B-4141-9EC3-546FE360F8EA}"/>
            </c:ext>
          </c:extLst>
        </c:ser>
        <c:ser>
          <c:idx val="2"/>
          <c:order val="2"/>
          <c:tx>
            <c:v>大型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灵能盾!$A$2:$A$25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灵能盾!$K$54:$K$77</c:f>
              <c:numCache>
                <c:formatCode>General</c:formatCode>
                <c:ptCount val="24"/>
                <c:pt idx="0">
                  <c:v>42</c:v>
                </c:pt>
                <c:pt idx="1">
                  <c:v>68</c:v>
                </c:pt>
                <c:pt idx="2">
                  <c:v>98</c:v>
                </c:pt>
                <c:pt idx="3">
                  <c:v>129</c:v>
                </c:pt>
                <c:pt idx="4">
                  <c:v>163</c:v>
                </c:pt>
                <c:pt idx="5">
                  <c:v>198</c:v>
                </c:pt>
                <c:pt idx="6">
                  <c:v>236</c:v>
                </c:pt>
                <c:pt idx="7">
                  <c:v>275</c:v>
                </c:pt>
                <c:pt idx="8">
                  <c:v>316</c:v>
                </c:pt>
                <c:pt idx="9">
                  <c:v>359</c:v>
                </c:pt>
                <c:pt idx="10">
                  <c:v>403</c:v>
                </c:pt>
                <c:pt idx="11">
                  <c:v>449</c:v>
                </c:pt>
                <c:pt idx="12">
                  <c:v>496</c:v>
                </c:pt>
                <c:pt idx="13">
                  <c:v>546</c:v>
                </c:pt>
                <c:pt idx="14">
                  <c:v>597</c:v>
                </c:pt>
                <c:pt idx="15">
                  <c:v>649</c:v>
                </c:pt>
                <c:pt idx="16">
                  <c:v>703</c:v>
                </c:pt>
                <c:pt idx="17">
                  <c:v>759</c:v>
                </c:pt>
                <c:pt idx="18">
                  <c:v>816</c:v>
                </c:pt>
                <c:pt idx="19">
                  <c:v>874</c:v>
                </c:pt>
                <c:pt idx="20">
                  <c:v>935</c:v>
                </c:pt>
                <c:pt idx="21">
                  <c:v>997</c:v>
                </c:pt>
                <c:pt idx="22">
                  <c:v>1060</c:v>
                </c:pt>
                <c:pt idx="23">
                  <c:v>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BB-4141-9EC3-546FE360F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6169567"/>
        <c:axId val="656171487"/>
      </c:barChart>
      <c:catAx>
        <c:axId val="65616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6171487"/>
        <c:crosses val="autoZero"/>
        <c:auto val="1"/>
        <c:lblAlgn val="ctr"/>
        <c:lblOffset val="100"/>
        <c:noMultiLvlLbl val="0"/>
      </c:catAx>
      <c:valAx>
        <c:axId val="6561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0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616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灵能护盾合金花费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小型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灵能盾!$A$2:$A$25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灵能盾!$G$2:$G$25</c:f>
              <c:numCache>
                <c:formatCode>General</c:formatCode>
                <c:ptCount val="24"/>
                <c:pt idx="0">
                  <c:v>82</c:v>
                </c:pt>
                <c:pt idx="1">
                  <c:v>123</c:v>
                </c:pt>
                <c:pt idx="2">
                  <c:v>164</c:v>
                </c:pt>
                <c:pt idx="3">
                  <c:v>205</c:v>
                </c:pt>
                <c:pt idx="4">
                  <c:v>246</c:v>
                </c:pt>
                <c:pt idx="5">
                  <c:v>287</c:v>
                </c:pt>
                <c:pt idx="6">
                  <c:v>328</c:v>
                </c:pt>
                <c:pt idx="7">
                  <c:v>369</c:v>
                </c:pt>
                <c:pt idx="8">
                  <c:v>410</c:v>
                </c:pt>
                <c:pt idx="9">
                  <c:v>451</c:v>
                </c:pt>
                <c:pt idx="10">
                  <c:v>492</c:v>
                </c:pt>
                <c:pt idx="11">
                  <c:v>533</c:v>
                </c:pt>
                <c:pt idx="12">
                  <c:v>574</c:v>
                </c:pt>
                <c:pt idx="13">
                  <c:v>615</c:v>
                </c:pt>
                <c:pt idx="14">
                  <c:v>656</c:v>
                </c:pt>
                <c:pt idx="15">
                  <c:v>697</c:v>
                </c:pt>
                <c:pt idx="16">
                  <c:v>738</c:v>
                </c:pt>
                <c:pt idx="17">
                  <c:v>779</c:v>
                </c:pt>
                <c:pt idx="18">
                  <c:v>820</c:v>
                </c:pt>
                <c:pt idx="19">
                  <c:v>861</c:v>
                </c:pt>
                <c:pt idx="20">
                  <c:v>902</c:v>
                </c:pt>
                <c:pt idx="21">
                  <c:v>943</c:v>
                </c:pt>
                <c:pt idx="22">
                  <c:v>984</c:v>
                </c:pt>
                <c:pt idx="23">
                  <c:v>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A-4D19-A12B-0AF0ACF38274}"/>
            </c:ext>
          </c:extLst>
        </c:ser>
        <c:ser>
          <c:idx val="1"/>
          <c:order val="1"/>
          <c:tx>
            <c:v>中型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灵能盾!$A$2:$A$25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灵能盾!$G$28:$G$51</c:f>
              <c:numCache>
                <c:formatCode>General</c:formatCode>
                <c:ptCount val="24"/>
                <c:pt idx="0">
                  <c:v>206</c:v>
                </c:pt>
                <c:pt idx="1">
                  <c:v>309</c:v>
                </c:pt>
                <c:pt idx="2">
                  <c:v>412</c:v>
                </c:pt>
                <c:pt idx="3">
                  <c:v>515</c:v>
                </c:pt>
                <c:pt idx="4">
                  <c:v>618</c:v>
                </c:pt>
                <c:pt idx="5">
                  <c:v>721</c:v>
                </c:pt>
                <c:pt idx="6">
                  <c:v>824</c:v>
                </c:pt>
                <c:pt idx="7">
                  <c:v>927</c:v>
                </c:pt>
                <c:pt idx="8">
                  <c:v>1030</c:v>
                </c:pt>
                <c:pt idx="9">
                  <c:v>1133</c:v>
                </c:pt>
                <c:pt idx="10">
                  <c:v>1236</c:v>
                </c:pt>
                <c:pt idx="11">
                  <c:v>1339</c:v>
                </c:pt>
                <c:pt idx="12">
                  <c:v>1442</c:v>
                </c:pt>
                <c:pt idx="13">
                  <c:v>1545</c:v>
                </c:pt>
                <c:pt idx="14">
                  <c:v>1648</c:v>
                </c:pt>
                <c:pt idx="15">
                  <c:v>1751</c:v>
                </c:pt>
                <c:pt idx="16">
                  <c:v>1854</c:v>
                </c:pt>
                <c:pt idx="17">
                  <c:v>1957</c:v>
                </c:pt>
                <c:pt idx="18">
                  <c:v>2060</c:v>
                </c:pt>
                <c:pt idx="19">
                  <c:v>2163</c:v>
                </c:pt>
                <c:pt idx="20">
                  <c:v>2266</c:v>
                </c:pt>
                <c:pt idx="21">
                  <c:v>2369</c:v>
                </c:pt>
                <c:pt idx="22">
                  <c:v>2472</c:v>
                </c:pt>
                <c:pt idx="23">
                  <c:v>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A-4D19-A12B-0AF0ACF38274}"/>
            </c:ext>
          </c:extLst>
        </c:ser>
        <c:ser>
          <c:idx val="2"/>
          <c:order val="2"/>
          <c:tx>
            <c:v>大型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灵能盾!$A$2:$A$25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灵能盾!$G$54:$G$77</c:f>
              <c:numCache>
                <c:formatCode>General</c:formatCode>
                <c:ptCount val="24"/>
                <c:pt idx="0">
                  <c:v>516</c:v>
                </c:pt>
                <c:pt idx="1">
                  <c:v>774</c:v>
                </c:pt>
                <c:pt idx="2">
                  <c:v>1032</c:v>
                </c:pt>
                <c:pt idx="3">
                  <c:v>1290</c:v>
                </c:pt>
                <c:pt idx="4">
                  <c:v>1548</c:v>
                </c:pt>
                <c:pt idx="5">
                  <c:v>1806</c:v>
                </c:pt>
                <c:pt idx="6">
                  <c:v>2064</c:v>
                </c:pt>
                <c:pt idx="7">
                  <c:v>2322</c:v>
                </c:pt>
                <c:pt idx="8">
                  <c:v>2580</c:v>
                </c:pt>
                <c:pt idx="9">
                  <c:v>2838</c:v>
                </c:pt>
                <c:pt idx="10">
                  <c:v>3096</c:v>
                </c:pt>
                <c:pt idx="11">
                  <c:v>3354</c:v>
                </c:pt>
                <c:pt idx="12">
                  <c:v>3612</c:v>
                </c:pt>
                <c:pt idx="13">
                  <c:v>3870</c:v>
                </c:pt>
                <c:pt idx="14">
                  <c:v>4128</c:v>
                </c:pt>
                <c:pt idx="15">
                  <c:v>4386</c:v>
                </c:pt>
                <c:pt idx="16">
                  <c:v>4644</c:v>
                </c:pt>
                <c:pt idx="17">
                  <c:v>4902</c:v>
                </c:pt>
                <c:pt idx="18">
                  <c:v>5160</c:v>
                </c:pt>
                <c:pt idx="19">
                  <c:v>5418</c:v>
                </c:pt>
                <c:pt idx="20">
                  <c:v>5676</c:v>
                </c:pt>
                <c:pt idx="21">
                  <c:v>5934</c:v>
                </c:pt>
                <c:pt idx="22">
                  <c:v>6192</c:v>
                </c:pt>
                <c:pt idx="23">
                  <c:v>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A-4D19-A12B-0AF0ACF38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049183"/>
        <c:axId val="3346847"/>
      </c:barChart>
      <c:catAx>
        <c:axId val="5604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46847"/>
        <c:crosses val="autoZero"/>
        <c:auto val="1"/>
        <c:lblAlgn val="ctr"/>
        <c:lblOffset val="100"/>
        <c:noMultiLvlLbl val="0"/>
      </c:catAx>
      <c:valAx>
        <c:axId val="334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4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尺寸护盾比例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06-414B-A7A4-8474822288AD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06-414B-A7A4-8474822288AD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06-414B-A7A4-8474822288AD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r>
                      <a:rPr lang="en-US" altLang="zh-CN" baseline="0"/>
                      <a:t> </a:t>
                    </a:r>
                    <a:fld id="{3487FEE1-578F-4652-92C4-DA7148A90254}" type="PERCENTAGE">
                      <a:rPr lang="en-US" altLang="zh-CN" baseline="0"/>
                      <a:pPr/>
                      <a:t>[百分比]</a:t>
                    </a:fld>
                    <a:endParaRPr lang="en-US" altLang="zh-CN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406-414B-A7A4-8474822288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首页!$A$2:$A$4</c:f>
              <c:strCache>
                <c:ptCount val="3"/>
                <c:pt idx="0">
                  <c:v>小型灵能护盾</c:v>
                </c:pt>
                <c:pt idx="1">
                  <c:v>中型灵能护盾</c:v>
                </c:pt>
                <c:pt idx="2">
                  <c:v>大型灵能护盾</c:v>
                </c:pt>
              </c:strCache>
            </c:strRef>
          </c:cat>
          <c:val>
            <c:numRef>
              <c:f>首页!$B$2:$B$4</c:f>
              <c:numCache>
                <c:formatCode>General</c:formatCode>
                <c:ptCount val="3"/>
                <c:pt idx="0">
                  <c:v>400</c:v>
                </c:pt>
                <c:pt idx="1">
                  <c:v>1200</c:v>
                </c:pt>
                <c:pt idx="2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06-414B-A7A4-847482228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生物护盾承受值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小型生物护盾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泽珞护盾肌体!$A$2:$A$25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泽珞护盾肌体!$E$2:$E$25</c:f>
              <c:numCache>
                <c:formatCode>General</c:formatCode>
                <c:ptCount val="24"/>
                <c:pt idx="0">
                  <c:v>640</c:v>
                </c:pt>
                <c:pt idx="1">
                  <c:v>960</c:v>
                </c:pt>
                <c:pt idx="2">
                  <c:v>1280</c:v>
                </c:pt>
                <c:pt idx="3">
                  <c:v>1600</c:v>
                </c:pt>
                <c:pt idx="4">
                  <c:v>1920</c:v>
                </c:pt>
                <c:pt idx="5">
                  <c:v>2240</c:v>
                </c:pt>
                <c:pt idx="6">
                  <c:v>2560</c:v>
                </c:pt>
                <c:pt idx="7">
                  <c:v>2880</c:v>
                </c:pt>
                <c:pt idx="8">
                  <c:v>3200</c:v>
                </c:pt>
                <c:pt idx="9">
                  <c:v>3520</c:v>
                </c:pt>
                <c:pt idx="10">
                  <c:v>3840</c:v>
                </c:pt>
                <c:pt idx="11">
                  <c:v>4160</c:v>
                </c:pt>
                <c:pt idx="12">
                  <c:v>4480</c:v>
                </c:pt>
                <c:pt idx="13">
                  <c:v>4800</c:v>
                </c:pt>
                <c:pt idx="14">
                  <c:v>5120</c:v>
                </c:pt>
                <c:pt idx="15">
                  <c:v>5440</c:v>
                </c:pt>
                <c:pt idx="16">
                  <c:v>5760</c:v>
                </c:pt>
                <c:pt idx="17">
                  <c:v>6080</c:v>
                </c:pt>
                <c:pt idx="18">
                  <c:v>6400</c:v>
                </c:pt>
                <c:pt idx="19">
                  <c:v>6720</c:v>
                </c:pt>
                <c:pt idx="20">
                  <c:v>7040</c:v>
                </c:pt>
                <c:pt idx="21">
                  <c:v>7360</c:v>
                </c:pt>
                <c:pt idx="22">
                  <c:v>7680</c:v>
                </c:pt>
                <c:pt idx="2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88-42B4-ACB0-29985FD22A82}"/>
            </c:ext>
          </c:extLst>
        </c:ser>
        <c:ser>
          <c:idx val="1"/>
          <c:order val="1"/>
          <c:tx>
            <c:v>中型生物护盾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泽珞护盾肌体!$A$2:$A$25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泽珞护盾肌体!$E$28:$E$51</c:f>
              <c:numCache>
                <c:formatCode>General</c:formatCode>
                <c:ptCount val="24"/>
                <c:pt idx="0">
                  <c:v>1920</c:v>
                </c:pt>
                <c:pt idx="1">
                  <c:v>2880</c:v>
                </c:pt>
                <c:pt idx="2">
                  <c:v>3840</c:v>
                </c:pt>
                <c:pt idx="3">
                  <c:v>4800</c:v>
                </c:pt>
                <c:pt idx="4">
                  <c:v>5760</c:v>
                </c:pt>
                <c:pt idx="5">
                  <c:v>6720</c:v>
                </c:pt>
                <c:pt idx="6">
                  <c:v>7680</c:v>
                </c:pt>
                <c:pt idx="7">
                  <c:v>8640</c:v>
                </c:pt>
                <c:pt idx="8">
                  <c:v>9600</c:v>
                </c:pt>
                <c:pt idx="9">
                  <c:v>10560</c:v>
                </c:pt>
                <c:pt idx="10">
                  <c:v>11520</c:v>
                </c:pt>
                <c:pt idx="11">
                  <c:v>12480</c:v>
                </c:pt>
                <c:pt idx="12">
                  <c:v>13440</c:v>
                </c:pt>
                <c:pt idx="13">
                  <c:v>14400</c:v>
                </c:pt>
                <c:pt idx="14">
                  <c:v>15360</c:v>
                </c:pt>
                <c:pt idx="15">
                  <c:v>16320</c:v>
                </c:pt>
                <c:pt idx="16">
                  <c:v>17280</c:v>
                </c:pt>
                <c:pt idx="17">
                  <c:v>18240</c:v>
                </c:pt>
                <c:pt idx="18">
                  <c:v>19200</c:v>
                </c:pt>
                <c:pt idx="19">
                  <c:v>20160</c:v>
                </c:pt>
                <c:pt idx="20">
                  <c:v>21120</c:v>
                </c:pt>
                <c:pt idx="21">
                  <c:v>22080</c:v>
                </c:pt>
                <c:pt idx="22">
                  <c:v>23040</c:v>
                </c:pt>
                <c:pt idx="23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88-42B4-ACB0-29985FD22A82}"/>
            </c:ext>
          </c:extLst>
        </c:ser>
        <c:ser>
          <c:idx val="2"/>
          <c:order val="2"/>
          <c:tx>
            <c:v>大型生物护盾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泽珞护盾肌体!$A$2:$A$25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泽珞护盾肌体!$E$54:$E$77</c:f>
              <c:numCache>
                <c:formatCode>General</c:formatCode>
                <c:ptCount val="24"/>
                <c:pt idx="0">
                  <c:v>5760</c:v>
                </c:pt>
                <c:pt idx="1">
                  <c:v>8640</c:v>
                </c:pt>
                <c:pt idx="2">
                  <c:v>11520</c:v>
                </c:pt>
                <c:pt idx="3">
                  <c:v>14400</c:v>
                </c:pt>
                <c:pt idx="4">
                  <c:v>17280</c:v>
                </c:pt>
                <c:pt idx="5">
                  <c:v>20160</c:v>
                </c:pt>
                <c:pt idx="6">
                  <c:v>23040</c:v>
                </c:pt>
                <c:pt idx="7">
                  <c:v>25920</c:v>
                </c:pt>
                <c:pt idx="8">
                  <c:v>28800</c:v>
                </c:pt>
                <c:pt idx="9">
                  <c:v>31680</c:v>
                </c:pt>
                <c:pt idx="10">
                  <c:v>34560</c:v>
                </c:pt>
                <c:pt idx="11">
                  <c:v>37440</c:v>
                </c:pt>
                <c:pt idx="12">
                  <c:v>40320</c:v>
                </c:pt>
                <c:pt idx="13">
                  <c:v>43200</c:v>
                </c:pt>
                <c:pt idx="14">
                  <c:v>46080</c:v>
                </c:pt>
                <c:pt idx="15">
                  <c:v>48960</c:v>
                </c:pt>
                <c:pt idx="16">
                  <c:v>51840</c:v>
                </c:pt>
                <c:pt idx="17">
                  <c:v>54720</c:v>
                </c:pt>
                <c:pt idx="18">
                  <c:v>57600</c:v>
                </c:pt>
                <c:pt idx="19">
                  <c:v>60480</c:v>
                </c:pt>
                <c:pt idx="20">
                  <c:v>63360</c:v>
                </c:pt>
                <c:pt idx="21">
                  <c:v>66240</c:v>
                </c:pt>
                <c:pt idx="22">
                  <c:v>69120</c:v>
                </c:pt>
                <c:pt idx="23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8-42B4-ACB0-29985FD22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2538255"/>
        <c:axId val="402541135"/>
      </c:barChart>
      <c:catAx>
        <c:axId val="40253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2541135"/>
        <c:crosses val="autoZero"/>
        <c:auto val="1"/>
        <c:lblAlgn val="ctr"/>
        <c:lblOffset val="100"/>
        <c:noMultiLvlLbl val="0"/>
      </c:catAx>
      <c:valAx>
        <c:axId val="4025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253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生物护盾每日回复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小型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泽珞护盾肌体!$A$2:$A$25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泽珞护盾肌体!$G$2:$G$25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  <c:pt idx="5">
                  <c:v>28</c:v>
                </c:pt>
                <c:pt idx="6">
                  <c:v>32</c:v>
                </c:pt>
                <c:pt idx="7">
                  <c:v>36</c:v>
                </c:pt>
                <c:pt idx="8">
                  <c:v>40</c:v>
                </c:pt>
                <c:pt idx="9">
                  <c:v>44</c:v>
                </c:pt>
                <c:pt idx="10">
                  <c:v>48</c:v>
                </c:pt>
                <c:pt idx="11">
                  <c:v>52</c:v>
                </c:pt>
                <c:pt idx="12">
                  <c:v>56</c:v>
                </c:pt>
                <c:pt idx="13">
                  <c:v>60</c:v>
                </c:pt>
                <c:pt idx="14">
                  <c:v>64</c:v>
                </c:pt>
                <c:pt idx="15">
                  <c:v>68</c:v>
                </c:pt>
                <c:pt idx="16">
                  <c:v>72</c:v>
                </c:pt>
                <c:pt idx="17">
                  <c:v>76</c:v>
                </c:pt>
                <c:pt idx="18">
                  <c:v>80</c:v>
                </c:pt>
                <c:pt idx="19">
                  <c:v>84</c:v>
                </c:pt>
                <c:pt idx="20">
                  <c:v>88</c:v>
                </c:pt>
                <c:pt idx="21">
                  <c:v>92</c:v>
                </c:pt>
                <c:pt idx="22">
                  <c:v>96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9-4AAB-A9B5-0FDD1E87DB0A}"/>
            </c:ext>
          </c:extLst>
        </c:ser>
        <c:ser>
          <c:idx val="1"/>
          <c:order val="1"/>
          <c:tx>
            <c:v>中型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泽珞护盾肌体!$A$2:$A$25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泽珞护盾肌体!$G$28:$G$51</c:f>
              <c:numCache>
                <c:formatCode>General</c:formatCode>
                <c:ptCount val="24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60</c:v>
                </c:pt>
                <c:pt idx="4">
                  <c:v>72</c:v>
                </c:pt>
                <c:pt idx="5">
                  <c:v>84</c:v>
                </c:pt>
                <c:pt idx="6">
                  <c:v>96</c:v>
                </c:pt>
                <c:pt idx="7">
                  <c:v>108</c:v>
                </c:pt>
                <c:pt idx="8">
                  <c:v>120</c:v>
                </c:pt>
                <c:pt idx="9">
                  <c:v>132</c:v>
                </c:pt>
                <c:pt idx="10">
                  <c:v>144</c:v>
                </c:pt>
                <c:pt idx="11">
                  <c:v>156</c:v>
                </c:pt>
                <c:pt idx="12">
                  <c:v>168</c:v>
                </c:pt>
                <c:pt idx="13">
                  <c:v>180</c:v>
                </c:pt>
                <c:pt idx="14">
                  <c:v>192</c:v>
                </c:pt>
                <c:pt idx="15">
                  <c:v>204</c:v>
                </c:pt>
                <c:pt idx="16">
                  <c:v>216</c:v>
                </c:pt>
                <c:pt idx="17">
                  <c:v>228</c:v>
                </c:pt>
                <c:pt idx="18">
                  <c:v>240</c:v>
                </c:pt>
                <c:pt idx="19">
                  <c:v>252</c:v>
                </c:pt>
                <c:pt idx="20">
                  <c:v>264</c:v>
                </c:pt>
                <c:pt idx="21">
                  <c:v>276</c:v>
                </c:pt>
                <c:pt idx="22">
                  <c:v>288</c:v>
                </c:pt>
                <c:pt idx="2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9-4AAB-A9B5-0FDD1E87DB0A}"/>
            </c:ext>
          </c:extLst>
        </c:ser>
        <c:ser>
          <c:idx val="2"/>
          <c:order val="2"/>
          <c:tx>
            <c:v>大型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泽珞护盾肌体!$A$2:$A$25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泽珞护盾肌体!$G$54:$G$77</c:f>
              <c:numCache>
                <c:formatCode>General</c:formatCode>
                <c:ptCount val="24"/>
                <c:pt idx="0">
                  <c:v>72</c:v>
                </c:pt>
                <c:pt idx="1">
                  <c:v>108</c:v>
                </c:pt>
                <c:pt idx="2">
                  <c:v>144</c:v>
                </c:pt>
                <c:pt idx="3">
                  <c:v>180</c:v>
                </c:pt>
                <c:pt idx="4">
                  <c:v>216</c:v>
                </c:pt>
                <c:pt idx="5">
                  <c:v>252</c:v>
                </c:pt>
                <c:pt idx="6">
                  <c:v>288</c:v>
                </c:pt>
                <c:pt idx="7">
                  <c:v>324</c:v>
                </c:pt>
                <c:pt idx="8">
                  <c:v>360</c:v>
                </c:pt>
                <c:pt idx="9">
                  <c:v>396</c:v>
                </c:pt>
                <c:pt idx="10">
                  <c:v>432</c:v>
                </c:pt>
                <c:pt idx="11">
                  <c:v>468</c:v>
                </c:pt>
                <c:pt idx="12">
                  <c:v>504</c:v>
                </c:pt>
                <c:pt idx="13">
                  <c:v>540</c:v>
                </c:pt>
                <c:pt idx="14">
                  <c:v>576</c:v>
                </c:pt>
                <c:pt idx="15">
                  <c:v>612</c:v>
                </c:pt>
                <c:pt idx="16">
                  <c:v>648</c:v>
                </c:pt>
                <c:pt idx="17">
                  <c:v>684</c:v>
                </c:pt>
                <c:pt idx="18">
                  <c:v>720</c:v>
                </c:pt>
                <c:pt idx="19">
                  <c:v>756</c:v>
                </c:pt>
                <c:pt idx="20">
                  <c:v>792</c:v>
                </c:pt>
                <c:pt idx="21">
                  <c:v>828</c:v>
                </c:pt>
                <c:pt idx="22">
                  <c:v>864</c:v>
                </c:pt>
                <c:pt idx="2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49-4AAB-A9B5-0FDD1E87D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7265023"/>
        <c:axId val="517264543"/>
      </c:barChart>
      <c:catAx>
        <c:axId val="51726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264543"/>
        <c:crosses val="autoZero"/>
        <c:auto val="1"/>
        <c:lblAlgn val="ctr"/>
        <c:lblOffset val="100"/>
        <c:noMultiLvlLbl val="0"/>
      </c:catAx>
      <c:valAx>
        <c:axId val="51726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726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尺寸护盾比例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4D-4E4B-BC7F-DE8E129E8BC0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4D-4E4B-BC7F-DE8E129E8BC0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4D-4E4B-BC7F-DE8E129E8B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首页!$A$5:$A$7</c:f>
              <c:strCache>
                <c:ptCount val="3"/>
                <c:pt idx="0">
                  <c:v>小型生物灵能护盾</c:v>
                </c:pt>
                <c:pt idx="1">
                  <c:v>中型生物灵能护盾</c:v>
                </c:pt>
                <c:pt idx="2">
                  <c:v>大型生物灵能护盾</c:v>
                </c:pt>
              </c:strCache>
            </c:strRef>
          </c:cat>
          <c:val>
            <c:numRef>
              <c:f>首页!$B$5:$B$7</c:f>
              <c:numCache>
                <c:formatCode>General</c:formatCode>
                <c:ptCount val="3"/>
                <c:pt idx="0">
                  <c:v>320</c:v>
                </c:pt>
                <c:pt idx="1">
                  <c:v>960</c:v>
                </c:pt>
                <c:pt idx="2">
                  <c:v>2880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4D-4E4B-BC7F-DE8E129E8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小型脉冲甲盾甲承受值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基础护盾值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solidFill>
                <a:schemeClr val="tx2">
                  <a:lumMod val="25000"/>
                  <a:lumOff val="75000"/>
                </a:schemeClr>
              </a:solidFill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古代脉冲甲!$E$2:$E$25</c:f>
              <c:numCache>
                <c:formatCode>General</c:formatCode>
                <c:ptCount val="24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2100</c:v>
                </c:pt>
                <c:pt idx="20">
                  <c:v>2200</c:v>
                </c:pt>
                <c:pt idx="21">
                  <c:v>2300</c:v>
                </c:pt>
                <c:pt idx="22">
                  <c:v>2400</c:v>
                </c:pt>
                <c:pt idx="2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4-4FBC-A155-8E6ACA5A6004}"/>
            </c:ext>
          </c:extLst>
        </c:ser>
        <c:ser>
          <c:idx val="1"/>
          <c:order val="1"/>
          <c:tx>
            <c:v>飞升奖励护盾值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古代脉冲甲!$G$2:$G$25</c:f>
              <c:numCache>
                <c:formatCode>General</c:formatCode>
                <c:ptCount val="24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  <c:pt idx="13">
                  <c:v>1500</c:v>
                </c:pt>
                <c:pt idx="14">
                  <c:v>1600</c:v>
                </c:pt>
                <c:pt idx="15">
                  <c:v>1700</c:v>
                </c:pt>
                <c:pt idx="16">
                  <c:v>1800</c:v>
                </c:pt>
                <c:pt idx="17">
                  <c:v>1900</c:v>
                </c:pt>
                <c:pt idx="18">
                  <c:v>2000</c:v>
                </c:pt>
                <c:pt idx="19">
                  <c:v>2100</c:v>
                </c:pt>
                <c:pt idx="20">
                  <c:v>2200</c:v>
                </c:pt>
                <c:pt idx="21">
                  <c:v>2300</c:v>
                </c:pt>
                <c:pt idx="22">
                  <c:v>2400</c:v>
                </c:pt>
                <c:pt idx="2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4-4FBC-A155-8E6ACA5A6004}"/>
            </c:ext>
          </c:extLst>
        </c:ser>
        <c:ser>
          <c:idx val="3"/>
          <c:order val="2"/>
          <c:tx>
            <c:v>装甲值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古代脉冲甲!$L$2:$L$25</c:f>
              <c:numCache>
                <c:formatCode>General</c:formatCode>
                <c:ptCount val="24"/>
                <c:pt idx="0">
                  <c:v>320</c:v>
                </c:pt>
                <c:pt idx="1">
                  <c:v>480</c:v>
                </c:pt>
                <c:pt idx="2">
                  <c:v>640</c:v>
                </c:pt>
                <c:pt idx="3">
                  <c:v>800</c:v>
                </c:pt>
                <c:pt idx="4">
                  <c:v>960</c:v>
                </c:pt>
                <c:pt idx="5">
                  <c:v>1120</c:v>
                </c:pt>
                <c:pt idx="6">
                  <c:v>1280</c:v>
                </c:pt>
                <c:pt idx="7">
                  <c:v>1440</c:v>
                </c:pt>
                <c:pt idx="8">
                  <c:v>1600</c:v>
                </c:pt>
                <c:pt idx="9">
                  <c:v>1760</c:v>
                </c:pt>
                <c:pt idx="10">
                  <c:v>1920</c:v>
                </c:pt>
                <c:pt idx="11">
                  <c:v>2080</c:v>
                </c:pt>
                <c:pt idx="12">
                  <c:v>2240</c:v>
                </c:pt>
                <c:pt idx="13">
                  <c:v>2400</c:v>
                </c:pt>
                <c:pt idx="14">
                  <c:v>2560</c:v>
                </c:pt>
                <c:pt idx="15">
                  <c:v>2720</c:v>
                </c:pt>
                <c:pt idx="16">
                  <c:v>2880</c:v>
                </c:pt>
                <c:pt idx="17">
                  <c:v>3040</c:v>
                </c:pt>
                <c:pt idx="18">
                  <c:v>3200</c:v>
                </c:pt>
                <c:pt idx="19">
                  <c:v>3360</c:v>
                </c:pt>
                <c:pt idx="20">
                  <c:v>3520</c:v>
                </c:pt>
                <c:pt idx="21">
                  <c:v>3680</c:v>
                </c:pt>
                <c:pt idx="22">
                  <c:v>3840</c:v>
                </c:pt>
                <c:pt idx="2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4-4FBC-A155-8E6ACA5A6004}"/>
            </c:ext>
          </c:extLst>
        </c:ser>
        <c:ser>
          <c:idx val="2"/>
          <c:order val="3"/>
          <c:tx>
            <c:v>总护盾值</c:v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古代脉冲甲!$H$2:$H$25</c:f>
              <c:numCache>
                <c:formatCode>General</c:formatCode>
                <c:ptCount val="24"/>
                <c:pt idx="0">
                  <c:v>400</c:v>
                </c:pt>
                <c:pt idx="1">
                  <c:v>600</c:v>
                </c:pt>
                <c:pt idx="2">
                  <c:v>800</c:v>
                </c:pt>
                <c:pt idx="3">
                  <c:v>1000</c:v>
                </c:pt>
                <c:pt idx="4">
                  <c:v>1200</c:v>
                </c:pt>
                <c:pt idx="5">
                  <c:v>1400</c:v>
                </c:pt>
                <c:pt idx="6">
                  <c:v>1600</c:v>
                </c:pt>
                <c:pt idx="7">
                  <c:v>1800</c:v>
                </c:pt>
                <c:pt idx="8">
                  <c:v>2000</c:v>
                </c:pt>
                <c:pt idx="9">
                  <c:v>2200</c:v>
                </c:pt>
                <c:pt idx="10">
                  <c:v>2400</c:v>
                </c:pt>
                <c:pt idx="11">
                  <c:v>2600</c:v>
                </c:pt>
                <c:pt idx="12">
                  <c:v>2800</c:v>
                </c:pt>
                <c:pt idx="13">
                  <c:v>3000</c:v>
                </c:pt>
                <c:pt idx="14">
                  <c:v>3200</c:v>
                </c:pt>
                <c:pt idx="15">
                  <c:v>3400</c:v>
                </c:pt>
                <c:pt idx="16">
                  <c:v>3600</c:v>
                </c:pt>
                <c:pt idx="17">
                  <c:v>3800</c:v>
                </c:pt>
                <c:pt idx="18">
                  <c:v>4000</c:v>
                </c:pt>
                <c:pt idx="19">
                  <c:v>4200</c:v>
                </c:pt>
                <c:pt idx="20">
                  <c:v>4400</c:v>
                </c:pt>
                <c:pt idx="21">
                  <c:v>4600</c:v>
                </c:pt>
                <c:pt idx="22">
                  <c:v>4800</c:v>
                </c:pt>
                <c:pt idx="2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54-4FBC-A155-8E6ACA5A6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713535"/>
        <c:axId val="868715935"/>
      </c:barChart>
      <c:catAx>
        <c:axId val="86871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715935"/>
        <c:crosses val="autoZero"/>
        <c:auto val="1"/>
        <c:lblAlgn val="ctr"/>
        <c:lblOffset val="100"/>
        <c:noMultiLvlLbl val="0"/>
      </c:catAx>
      <c:valAx>
        <c:axId val="86871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71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中型脉冲甲盾甲承受值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基础护盾值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古代脉冲甲!$E$28:$E$51</c:f>
              <c:numCache>
                <c:formatCode>General</c:formatCode>
                <c:ptCount val="24"/>
                <c:pt idx="0">
                  <c:v>600</c:v>
                </c:pt>
                <c:pt idx="1">
                  <c:v>900</c:v>
                </c:pt>
                <c:pt idx="2">
                  <c:v>1200</c:v>
                </c:pt>
                <c:pt idx="3">
                  <c:v>1500</c:v>
                </c:pt>
                <c:pt idx="4">
                  <c:v>1800</c:v>
                </c:pt>
                <c:pt idx="5">
                  <c:v>2100</c:v>
                </c:pt>
                <c:pt idx="6">
                  <c:v>2400</c:v>
                </c:pt>
                <c:pt idx="7">
                  <c:v>2700</c:v>
                </c:pt>
                <c:pt idx="8">
                  <c:v>3000</c:v>
                </c:pt>
                <c:pt idx="9">
                  <c:v>3300</c:v>
                </c:pt>
                <c:pt idx="10">
                  <c:v>3600</c:v>
                </c:pt>
                <c:pt idx="11">
                  <c:v>3900</c:v>
                </c:pt>
                <c:pt idx="12">
                  <c:v>4200</c:v>
                </c:pt>
                <c:pt idx="13">
                  <c:v>4500</c:v>
                </c:pt>
                <c:pt idx="14">
                  <c:v>4800</c:v>
                </c:pt>
                <c:pt idx="15">
                  <c:v>5100</c:v>
                </c:pt>
                <c:pt idx="16">
                  <c:v>5400</c:v>
                </c:pt>
                <c:pt idx="17">
                  <c:v>5700</c:v>
                </c:pt>
                <c:pt idx="18">
                  <c:v>6000</c:v>
                </c:pt>
                <c:pt idx="19">
                  <c:v>6300</c:v>
                </c:pt>
                <c:pt idx="20">
                  <c:v>6600</c:v>
                </c:pt>
                <c:pt idx="21">
                  <c:v>6900</c:v>
                </c:pt>
                <c:pt idx="22">
                  <c:v>7200</c:v>
                </c:pt>
                <c:pt idx="23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A-4E5F-9925-6BA9F7C5D59E}"/>
            </c:ext>
          </c:extLst>
        </c:ser>
        <c:ser>
          <c:idx val="1"/>
          <c:order val="1"/>
          <c:tx>
            <c:v>飞升奖励护盾值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古代脉冲甲!$G$28:$G$51</c:f>
              <c:numCache>
                <c:formatCode>General</c:formatCode>
                <c:ptCount val="24"/>
                <c:pt idx="0">
                  <c:v>600</c:v>
                </c:pt>
                <c:pt idx="1">
                  <c:v>900</c:v>
                </c:pt>
                <c:pt idx="2">
                  <c:v>1200</c:v>
                </c:pt>
                <c:pt idx="3">
                  <c:v>1500</c:v>
                </c:pt>
                <c:pt idx="4">
                  <c:v>1800</c:v>
                </c:pt>
                <c:pt idx="5">
                  <c:v>2100</c:v>
                </c:pt>
                <c:pt idx="6">
                  <c:v>2400</c:v>
                </c:pt>
                <c:pt idx="7">
                  <c:v>2700</c:v>
                </c:pt>
                <c:pt idx="8">
                  <c:v>3000</c:v>
                </c:pt>
                <c:pt idx="9">
                  <c:v>3300</c:v>
                </c:pt>
                <c:pt idx="10">
                  <c:v>3600</c:v>
                </c:pt>
                <c:pt idx="11">
                  <c:v>3900</c:v>
                </c:pt>
                <c:pt idx="12">
                  <c:v>4200</c:v>
                </c:pt>
                <c:pt idx="13">
                  <c:v>4500</c:v>
                </c:pt>
                <c:pt idx="14">
                  <c:v>4800</c:v>
                </c:pt>
                <c:pt idx="15">
                  <c:v>5100</c:v>
                </c:pt>
                <c:pt idx="16">
                  <c:v>5400</c:v>
                </c:pt>
                <c:pt idx="17">
                  <c:v>5700</c:v>
                </c:pt>
                <c:pt idx="18">
                  <c:v>6000</c:v>
                </c:pt>
                <c:pt idx="19">
                  <c:v>6300</c:v>
                </c:pt>
                <c:pt idx="20">
                  <c:v>6600</c:v>
                </c:pt>
                <c:pt idx="21">
                  <c:v>6900</c:v>
                </c:pt>
                <c:pt idx="22">
                  <c:v>7200</c:v>
                </c:pt>
                <c:pt idx="23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A-4E5F-9925-6BA9F7C5D59E}"/>
            </c:ext>
          </c:extLst>
        </c:ser>
        <c:ser>
          <c:idx val="3"/>
          <c:order val="2"/>
          <c:tx>
            <c:v>装甲值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古代脉冲甲!$L$28:$L$51</c:f>
              <c:numCache>
                <c:formatCode>General</c:formatCode>
                <c:ptCount val="24"/>
                <c:pt idx="0">
                  <c:v>960</c:v>
                </c:pt>
                <c:pt idx="1">
                  <c:v>1440</c:v>
                </c:pt>
                <c:pt idx="2">
                  <c:v>1920</c:v>
                </c:pt>
                <c:pt idx="3">
                  <c:v>2400</c:v>
                </c:pt>
                <c:pt idx="4">
                  <c:v>2880</c:v>
                </c:pt>
                <c:pt idx="5">
                  <c:v>3360</c:v>
                </c:pt>
                <c:pt idx="6">
                  <c:v>3840</c:v>
                </c:pt>
                <c:pt idx="7">
                  <c:v>4320</c:v>
                </c:pt>
                <c:pt idx="8">
                  <c:v>4800</c:v>
                </c:pt>
                <c:pt idx="9">
                  <c:v>5280</c:v>
                </c:pt>
                <c:pt idx="10">
                  <c:v>5760</c:v>
                </c:pt>
                <c:pt idx="11">
                  <c:v>6240</c:v>
                </c:pt>
                <c:pt idx="12">
                  <c:v>6720</c:v>
                </c:pt>
                <c:pt idx="13">
                  <c:v>7200</c:v>
                </c:pt>
                <c:pt idx="14">
                  <c:v>7680</c:v>
                </c:pt>
                <c:pt idx="15">
                  <c:v>8160</c:v>
                </c:pt>
                <c:pt idx="16">
                  <c:v>8640</c:v>
                </c:pt>
                <c:pt idx="17">
                  <c:v>9120</c:v>
                </c:pt>
                <c:pt idx="18">
                  <c:v>9600</c:v>
                </c:pt>
                <c:pt idx="19">
                  <c:v>10080</c:v>
                </c:pt>
                <c:pt idx="20">
                  <c:v>10560</c:v>
                </c:pt>
                <c:pt idx="21">
                  <c:v>11040</c:v>
                </c:pt>
                <c:pt idx="22">
                  <c:v>11520</c:v>
                </c:pt>
                <c:pt idx="2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A-4E5F-9925-6BA9F7C5D59E}"/>
            </c:ext>
          </c:extLst>
        </c:ser>
        <c:ser>
          <c:idx val="2"/>
          <c:order val="3"/>
          <c:tx>
            <c:v>总护盾值</c:v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古代脉冲甲!$H$28:$H$51</c:f>
              <c:numCache>
                <c:formatCode>General</c:formatCode>
                <c:ptCount val="24"/>
                <c:pt idx="0">
                  <c:v>1200</c:v>
                </c:pt>
                <c:pt idx="1">
                  <c:v>1800</c:v>
                </c:pt>
                <c:pt idx="2">
                  <c:v>2400</c:v>
                </c:pt>
                <c:pt idx="3">
                  <c:v>3000</c:v>
                </c:pt>
                <c:pt idx="4">
                  <c:v>3600</c:v>
                </c:pt>
                <c:pt idx="5">
                  <c:v>4200</c:v>
                </c:pt>
                <c:pt idx="6">
                  <c:v>4800</c:v>
                </c:pt>
                <c:pt idx="7">
                  <c:v>5400</c:v>
                </c:pt>
                <c:pt idx="8">
                  <c:v>6000</c:v>
                </c:pt>
                <c:pt idx="9">
                  <c:v>6600</c:v>
                </c:pt>
                <c:pt idx="10">
                  <c:v>7200</c:v>
                </c:pt>
                <c:pt idx="11">
                  <c:v>7800</c:v>
                </c:pt>
                <c:pt idx="12">
                  <c:v>8400</c:v>
                </c:pt>
                <c:pt idx="13">
                  <c:v>9000</c:v>
                </c:pt>
                <c:pt idx="14">
                  <c:v>9600</c:v>
                </c:pt>
                <c:pt idx="15">
                  <c:v>10200</c:v>
                </c:pt>
                <c:pt idx="16">
                  <c:v>10800</c:v>
                </c:pt>
                <c:pt idx="17">
                  <c:v>11400</c:v>
                </c:pt>
                <c:pt idx="18">
                  <c:v>12000</c:v>
                </c:pt>
                <c:pt idx="19">
                  <c:v>12600</c:v>
                </c:pt>
                <c:pt idx="20">
                  <c:v>13200</c:v>
                </c:pt>
                <c:pt idx="21">
                  <c:v>13800</c:v>
                </c:pt>
                <c:pt idx="22">
                  <c:v>14400</c:v>
                </c:pt>
                <c:pt idx="23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EA-4E5F-9925-6BA9F7C5D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713535"/>
        <c:axId val="868715935"/>
      </c:barChart>
      <c:catAx>
        <c:axId val="86871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715935"/>
        <c:crosses val="autoZero"/>
        <c:auto val="1"/>
        <c:lblAlgn val="ctr"/>
        <c:lblOffset val="100"/>
        <c:noMultiLvlLbl val="0"/>
      </c:catAx>
      <c:valAx>
        <c:axId val="86871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71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大中型脉冲甲盾甲承受值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基础护盾值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古代脉冲甲!$E$54:$E$77</c:f>
              <c:numCache>
                <c:formatCode>General</c:formatCode>
                <c:ptCount val="24"/>
                <c:pt idx="0">
                  <c:v>1800</c:v>
                </c:pt>
                <c:pt idx="1">
                  <c:v>2700</c:v>
                </c:pt>
                <c:pt idx="2">
                  <c:v>3600</c:v>
                </c:pt>
                <c:pt idx="3">
                  <c:v>4500</c:v>
                </c:pt>
                <c:pt idx="4">
                  <c:v>5400</c:v>
                </c:pt>
                <c:pt idx="5">
                  <c:v>6300</c:v>
                </c:pt>
                <c:pt idx="6">
                  <c:v>7200</c:v>
                </c:pt>
                <c:pt idx="7">
                  <c:v>8100</c:v>
                </c:pt>
                <c:pt idx="8">
                  <c:v>9000</c:v>
                </c:pt>
                <c:pt idx="9">
                  <c:v>9900</c:v>
                </c:pt>
                <c:pt idx="10">
                  <c:v>10800</c:v>
                </c:pt>
                <c:pt idx="11">
                  <c:v>11700</c:v>
                </c:pt>
                <c:pt idx="12">
                  <c:v>12600</c:v>
                </c:pt>
                <c:pt idx="13">
                  <c:v>13500</c:v>
                </c:pt>
                <c:pt idx="14">
                  <c:v>14400</c:v>
                </c:pt>
                <c:pt idx="15">
                  <c:v>15300</c:v>
                </c:pt>
                <c:pt idx="16">
                  <c:v>16200</c:v>
                </c:pt>
                <c:pt idx="17">
                  <c:v>17100</c:v>
                </c:pt>
                <c:pt idx="18">
                  <c:v>18000</c:v>
                </c:pt>
                <c:pt idx="19">
                  <c:v>18900</c:v>
                </c:pt>
                <c:pt idx="20">
                  <c:v>19800</c:v>
                </c:pt>
                <c:pt idx="21">
                  <c:v>20700</c:v>
                </c:pt>
                <c:pt idx="22">
                  <c:v>21600</c:v>
                </c:pt>
                <c:pt idx="23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2-4F67-A507-A9D2E8F320D4}"/>
            </c:ext>
          </c:extLst>
        </c:ser>
        <c:ser>
          <c:idx val="1"/>
          <c:order val="1"/>
          <c:tx>
            <c:v>飞升奖励护盾值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古代脉冲甲!$G$54:$G$77</c:f>
              <c:numCache>
                <c:formatCode>General</c:formatCode>
                <c:ptCount val="24"/>
                <c:pt idx="0">
                  <c:v>1800</c:v>
                </c:pt>
                <c:pt idx="1">
                  <c:v>2700</c:v>
                </c:pt>
                <c:pt idx="2">
                  <c:v>3600</c:v>
                </c:pt>
                <c:pt idx="3">
                  <c:v>4500</c:v>
                </c:pt>
                <c:pt idx="4">
                  <c:v>5400</c:v>
                </c:pt>
                <c:pt idx="5">
                  <c:v>6300</c:v>
                </c:pt>
                <c:pt idx="6">
                  <c:v>7200</c:v>
                </c:pt>
                <c:pt idx="7">
                  <c:v>8100</c:v>
                </c:pt>
                <c:pt idx="8">
                  <c:v>9000</c:v>
                </c:pt>
                <c:pt idx="9">
                  <c:v>9900</c:v>
                </c:pt>
                <c:pt idx="10">
                  <c:v>10800</c:v>
                </c:pt>
                <c:pt idx="11">
                  <c:v>11700</c:v>
                </c:pt>
                <c:pt idx="12">
                  <c:v>12600</c:v>
                </c:pt>
                <c:pt idx="13">
                  <c:v>13500</c:v>
                </c:pt>
                <c:pt idx="14">
                  <c:v>14400</c:v>
                </c:pt>
                <c:pt idx="15">
                  <c:v>15300</c:v>
                </c:pt>
                <c:pt idx="16">
                  <c:v>16200</c:v>
                </c:pt>
                <c:pt idx="17">
                  <c:v>17100</c:v>
                </c:pt>
                <c:pt idx="18">
                  <c:v>18000</c:v>
                </c:pt>
                <c:pt idx="19">
                  <c:v>18900</c:v>
                </c:pt>
                <c:pt idx="20">
                  <c:v>19800</c:v>
                </c:pt>
                <c:pt idx="21">
                  <c:v>20700</c:v>
                </c:pt>
                <c:pt idx="22">
                  <c:v>21600</c:v>
                </c:pt>
                <c:pt idx="23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2-4F67-A507-A9D2E8F320D4}"/>
            </c:ext>
          </c:extLst>
        </c:ser>
        <c:ser>
          <c:idx val="3"/>
          <c:order val="2"/>
          <c:tx>
            <c:v>装甲值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古代脉冲甲!$L$54:$L$77</c:f>
              <c:numCache>
                <c:formatCode>General</c:formatCode>
                <c:ptCount val="24"/>
                <c:pt idx="0">
                  <c:v>2880</c:v>
                </c:pt>
                <c:pt idx="1">
                  <c:v>4320</c:v>
                </c:pt>
                <c:pt idx="2">
                  <c:v>5760</c:v>
                </c:pt>
                <c:pt idx="3">
                  <c:v>7200</c:v>
                </c:pt>
                <c:pt idx="4">
                  <c:v>8640</c:v>
                </c:pt>
                <c:pt idx="5">
                  <c:v>10080</c:v>
                </c:pt>
                <c:pt idx="6">
                  <c:v>11520</c:v>
                </c:pt>
                <c:pt idx="7">
                  <c:v>12960</c:v>
                </c:pt>
                <c:pt idx="8">
                  <c:v>14400</c:v>
                </c:pt>
                <c:pt idx="9">
                  <c:v>15840</c:v>
                </c:pt>
                <c:pt idx="10">
                  <c:v>17280</c:v>
                </c:pt>
                <c:pt idx="11">
                  <c:v>18720</c:v>
                </c:pt>
                <c:pt idx="12">
                  <c:v>20160</c:v>
                </c:pt>
                <c:pt idx="13">
                  <c:v>21600</c:v>
                </c:pt>
                <c:pt idx="14">
                  <c:v>23040</c:v>
                </c:pt>
                <c:pt idx="15">
                  <c:v>24480</c:v>
                </c:pt>
                <c:pt idx="16">
                  <c:v>25920</c:v>
                </c:pt>
                <c:pt idx="17">
                  <c:v>27360</c:v>
                </c:pt>
                <c:pt idx="18">
                  <c:v>28800</c:v>
                </c:pt>
                <c:pt idx="19">
                  <c:v>30240</c:v>
                </c:pt>
                <c:pt idx="20">
                  <c:v>31680</c:v>
                </c:pt>
                <c:pt idx="21">
                  <c:v>33120</c:v>
                </c:pt>
                <c:pt idx="22">
                  <c:v>34560</c:v>
                </c:pt>
                <c:pt idx="2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2-4F67-A507-A9D2E8F320D4}"/>
            </c:ext>
          </c:extLst>
        </c:ser>
        <c:ser>
          <c:idx val="2"/>
          <c:order val="3"/>
          <c:tx>
            <c:v>总护盾值</c:v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古代脉冲甲!$H$54:$H$77</c:f>
              <c:numCache>
                <c:formatCode>General</c:formatCode>
                <c:ptCount val="24"/>
                <c:pt idx="0">
                  <c:v>3600</c:v>
                </c:pt>
                <c:pt idx="1">
                  <c:v>5400</c:v>
                </c:pt>
                <c:pt idx="2">
                  <c:v>7200</c:v>
                </c:pt>
                <c:pt idx="3">
                  <c:v>9000</c:v>
                </c:pt>
                <c:pt idx="4">
                  <c:v>10800</c:v>
                </c:pt>
                <c:pt idx="5">
                  <c:v>12600</c:v>
                </c:pt>
                <c:pt idx="6">
                  <c:v>14400</c:v>
                </c:pt>
                <c:pt idx="7">
                  <c:v>16200</c:v>
                </c:pt>
                <c:pt idx="8">
                  <c:v>18000</c:v>
                </c:pt>
                <c:pt idx="9">
                  <c:v>19800</c:v>
                </c:pt>
                <c:pt idx="10">
                  <c:v>21600</c:v>
                </c:pt>
                <c:pt idx="11">
                  <c:v>23400</c:v>
                </c:pt>
                <c:pt idx="12">
                  <c:v>25200</c:v>
                </c:pt>
                <c:pt idx="13">
                  <c:v>27000</c:v>
                </c:pt>
                <c:pt idx="14">
                  <c:v>28800</c:v>
                </c:pt>
                <c:pt idx="15">
                  <c:v>30600</c:v>
                </c:pt>
                <c:pt idx="16">
                  <c:v>32400</c:v>
                </c:pt>
                <c:pt idx="17">
                  <c:v>34200</c:v>
                </c:pt>
                <c:pt idx="18">
                  <c:v>36000</c:v>
                </c:pt>
                <c:pt idx="19">
                  <c:v>37800</c:v>
                </c:pt>
                <c:pt idx="20">
                  <c:v>39600</c:v>
                </c:pt>
                <c:pt idx="21">
                  <c:v>41400</c:v>
                </c:pt>
                <c:pt idx="22">
                  <c:v>43200</c:v>
                </c:pt>
                <c:pt idx="2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62-4F67-A507-A9D2E8F32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713535"/>
        <c:axId val="868715935"/>
      </c:barChart>
      <c:catAx>
        <c:axId val="86871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715935"/>
        <c:crosses val="autoZero"/>
        <c:auto val="1"/>
        <c:lblAlgn val="ctr"/>
        <c:lblOffset val="100"/>
        <c:noMultiLvlLbl val="0"/>
      </c:catAx>
      <c:valAx>
        <c:axId val="86871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871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脉冲甲合金花费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小型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古代脉冲甲!$N$2:$N$25</c:f>
              <c:numCache>
                <c:formatCode>General</c:formatCode>
                <c:ptCount val="24"/>
                <c:pt idx="0">
                  <c:v>35</c:v>
                </c:pt>
                <c:pt idx="1">
                  <c:v>53</c:v>
                </c:pt>
                <c:pt idx="2">
                  <c:v>70</c:v>
                </c:pt>
                <c:pt idx="3">
                  <c:v>88</c:v>
                </c:pt>
                <c:pt idx="4">
                  <c:v>105</c:v>
                </c:pt>
                <c:pt idx="5">
                  <c:v>123</c:v>
                </c:pt>
                <c:pt idx="6">
                  <c:v>140</c:v>
                </c:pt>
                <c:pt idx="7">
                  <c:v>158</c:v>
                </c:pt>
                <c:pt idx="8">
                  <c:v>175</c:v>
                </c:pt>
                <c:pt idx="9">
                  <c:v>193</c:v>
                </c:pt>
                <c:pt idx="10">
                  <c:v>210</c:v>
                </c:pt>
                <c:pt idx="11">
                  <c:v>228</c:v>
                </c:pt>
                <c:pt idx="12">
                  <c:v>245</c:v>
                </c:pt>
                <c:pt idx="13">
                  <c:v>263</c:v>
                </c:pt>
                <c:pt idx="14">
                  <c:v>280</c:v>
                </c:pt>
                <c:pt idx="15">
                  <c:v>298</c:v>
                </c:pt>
                <c:pt idx="16">
                  <c:v>315</c:v>
                </c:pt>
                <c:pt idx="17">
                  <c:v>333</c:v>
                </c:pt>
                <c:pt idx="18">
                  <c:v>350</c:v>
                </c:pt>
                <c:pt idx="19">
                  <c:v>368</c:v>
                </c:pt>
                <c:pt idx="20">
                  <c:v>385</c:v>
                </c:pt>
                <c:pt idx="21">
                  <c:v>403</c:v>
                </c:pt>
                <c:pt idx="22">
                  <c:v>420</c:v>
                </c:pt>
                <c:pt idx="23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A-4D61-BC24-093B75C6EBD8}"/>
            </c:ext>
          </c:extLst>
        </c:ser>
        <c:ser>
          <c:idx val="1"/>
          <c:order val="1"/>
          <c:tx>
            <c:v>中型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古代脉冲甲!$N$28:$N$51</c:f>
              <c:numCache>
                <c:formatCode>General</c:formatCode>
                <c:ptCount val="24"/>
                <c:pt idx="0">
                  <c:v>88</c:v>
                </c:pt>
                <c:pt idx="1">
                  <c:v>132</c:v>
                </c:pt>
                <c:pt idx="2">
                  <c:v>176</c:v>
                </c:pt>
                <c:pt idx="3">
                  <c:v>220</c:v>
                </c:pt>
                <c:pt idx="4">
                  <c:v>264</c:v>
                </c:pt>
                <c:pt idx="5">
                  <c:v>308</c:v>
                </c:pt>
                <c:pt idx="6">
                  <c:v>352</c:v>
                </c:pt>
                <c:pt idx="7">
                  <c:v>396</c:v>
                </c:pt>
                <c:pt idx="8">
                  <c:v>440</c:v>
                </c:pt>
                <c:pt idx="9">
                  <c:v>484</c:v>
                </c:pt>
                <c:pt idx="10">
                  <c:v>528</c:v>
                </c:pt>
                <c:pt idx="11">
                  <c:v>572</c:v>
                </c:pt>
                <c:pt idx="12">
                  <c:v>616</c:v>
                </c:pt>
                <c:pt idx="13">
                  <c:v>660</c:v>
                </c:pt>
                <c:pt idx="14">
                  <c:v>704</c:v>
                </c:pt>
                <c:pt idx="15">
                  <c:v>748</c:v>
                </c:pt>
                <c:pt idx="16">
                  <c:v>792</c:v>
                </c:pt>
                <c:pt idx="17">
                  <c:v>836</c:v>
                </c:pt>
                <c:pt idx="18">
                  <c:v>880</c:v>
                </c:pt>
                <c:pt idx="19">
                  <c:v>924</c:v>
                </c:pt>
                <c:pt idx="20">
                  <c:v>968</c:v>
                </c:pt>
                <c:pt idx="21">
                  <c:v>1012</c:v>
                </c:pt>
                <c:pt idx="22">
                  <c:v>1056</c:v>
                </c:pt>
                <c:pt idx="23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0A-4D61-BC24-093B75C6EBD8}"/>
            </c:ext>
          </c:extLst>
        </c:ser>
        <c:ser>
          <c:idx val="2"/>
          <c:order val="2"/>
          <c:tx>
            <c:v>大型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古代脉冲甲!$N$54:$N$77</c:f>
              <c:numCache>
                <c:formatCode>General</c:formatCode>
                <c:ptCount val="24"/>
                <c:pt idx="0">
                  <c:v>220</c:v>
                </c:pt>
                <c:pt idx="1">
                  <c:v>330</c:v>
                </c:pt>
                <c:pt idx="2">
                  <c:v>440</c:v>
                </c:pt>
                <c:pt idx="3">
                  <c:v>550</c:v>
                </c:pt>
                <c:pt idx="4">
                  <c:v>660</c:v>
                </c:pt>
                <c:pt idx="5">
                  <c:v>770</c:v>
                </c:pt>
                <c:pt idx="6">
                  <c:v>880</c:v>
                </c:pt>
                <c:pt idx="7">
                  <c:v>990</c:v>
                </c:pt>
                <c:pt idx="8">
                  <c:v>1100</c:v>
                </c:pt>
                <c:pt idx="9">
                  <c:v>1210</c:v>
                </c:pt>
                <c:pt idx="10">
                  <c:v>1320</c:v>
                </c:pt>
                <c:pt idx="11">
                  <c:v>1430</c:v>
                </c:pt>
                <c:pt idx="12">
                  <c:v>1540</c:v>
                </c:pt>
                <c:pt idx="13">
                  <c:v>1650</c:v>
                </c:pt>
                <c:pt idx="14">
                  <c:v>1760</c:v>
                </c:pt>
                <c:pt idx="15">
                  <c:v>1870</c:v>
                </c:pt>
                <c:pt idx="16">
                  <c:v>1980</c:v>
                </c:pt>
                <c:pt idx="17">
                  <c:v>2090</c:v>
                </c:pt>
                <c:pt idx="18">
                  <c:v>2200</c:v>
                </c:pt>
                <c:pt idx="19">
                  <c:v>2310</c:v>
                </c:pt>
                <c:pt idx="20">
                  <c:v>2420</c:v>
                </c:pt>
                <c:pt idx="21">
                  <c:v>2530</c:v>
                </c:pt>
                <c:pt idx="22">
                  <c:v>2640</c:v>
                </c:pt>
                <c:pt idx="23">
                  <c:v>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0A-4D61-BC24-093B75C6E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402415"/>
        <c:axId val="392396175"/>
      </c:barChart>
      <c:catAx>
        <c:axId val="39240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2396175"/>
        <c:crosses val="autoZero"/>
        <c:auto val="1"/>
        <c:lblAlgn val="ctr"/>
        <c:lblOffset val="100"/>
        <c:noMultiLvlLbl val="0"/>
      </c:catAx>
      <c:valAx>
        <c:axId val="39239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240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脉冲甲护盾回复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小型</c:v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古代脉冲甲!$J$2:$J$25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0-4A70-B698-05A6A741A3DA}"/>
            </c:ext>
          </c:extLst>
        </c:ser>
        <c:ser>
          <c:idx val="1"/>
          <c:order val="1"/>
          <c:tx>
            <c:v>中型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古代脉冲甲!$J$28:$J$51</c:f>
              <c:numCache>
                <c:formatCode>General</c:formatCode>
                <c:ptCount val="24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  <c:pt idx="7">
                  <c:v>27</c:v>
                </c:pt>
                <c:pt idx="8">
                  <c:v>30</c:v>
                </c:pt>
                <c:pt idx="9">
                  <c:v>33</c:v>
                </c:pt>
                <c:pt idx="10">
                  <c:v>36</c:v>
                </c:pt>
                <c:pt idx="11">
                  <c:v>39</c:v>
                </c:pt>
                <c:pt idx="12">
                  <c:v>42</c:v>
                </c:pt>
                <c:pt idx="13">
                  <c:v>45</c:v>
                </c:pt>
                <c:pt idx="14">
                  <c:v>48</c:v>
                </c:pt>
                <c:pt idx="15">
                  <c:v>51</c:v>
                </c:pt>
                <c:pt idx="16">
                  <c:v>54</c:v>
                </c:pt>
                <c:pt idx="17">
                  <c:v>57</c:v>
                </c:pt>
                <c:pt idx="18">
                  <c:v>60</c:v>
                </c:pt>
                <c:pt idx="19">
                  <c:v>63</c:v>
                </c:pt>
                <c:pt idx="20">
                  <c:v>66</c:v>
                </c:pt>
                <c:pt idx="21">
                  <c:v>69</c:v>
                </c:pt>
                <c:pt idx="22">
                  <c:v>72</c:v>
                </c:pt>
                <c:pt idx="2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40-4A70-B698-05A6A741A3DA}"/>
            </c:ext>
          </c:extLst>
        </c:ser>
        <c:ser>
          <c:idx val="2"/>
          <c:order val="2"/>
          <c:tx>
            <c:v>大型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古代脉冲甲!$A$2:$A$25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古代脉冲甲!$J$54:$J$77</c:f>
              <c:numCache>
                <c:formatCode>General</c:formatCode>
                <c:ptCount val="24"/>
                <c:pt idx="0">
                  <c:v>18</c:v>
                </c:pt>
                <c:pt idx="1">
                  <c:v>27</c:v>
                </c:pt>
                <c:pt idx="2">
                  <c:v>36</c:v>
                </c:pt>
                <c:pt idx="3">
                  <c:v>45</c:v>
                </c:pt>
                <c:pt idx="4">
                  <c:v>54</c:v>
                </c:pt>
                <c:pt idx="5">
                  <c:v>63</c:v>
                </c:pt>
                <c:pt idx="6">
                  <c:v>72</c:v>
                </c:pt>
                <c:pt idx="7">
                  <c:v>81</c:v>
                </c:pt>
                <c:pt idx="8">
                  <c:v>90</c:v>
                </c:pt>
                <c:pt idx="9">
                  <c:v>99</c:v>
                </c:pt>
                <c:pt idx="10">
                  <c:v>108</c:v>
                </c:pt>
                <c:pt idx="11">
                  <c:v>117</c:v>
                </c:pt>
                <c:pt idx="12">
                  <c:v>126</c:v>
                </c:pt>
                <c:pt idx="13">
                  <c:v>135</c:v>
                </c:pt>
                <c:pt idx="14">
                  <c:v>144</c:v>
                </c:pt>
                <c:pt idx="15">
                  <c:v>153</c:v>
                </c:pt>
                <c:pt idx="16">
                  <c:v>162</c:v>
                </c:pt>
                <c:pt idx="17">
                  <c:v>171</c:v>
                </c:pt>
                <c:pt idx="18">
                  <c:v>180</c:v>
                </c:pt>
                <c:pt idx="19">
                  <c:v>189</c:v>
                </c:pt>
                <c:pt idx="20">
                  <c:v>198</c:v>
                </c:pt>
                <c:pt idx="21">
                  <c:v>207</c:v>
                </c:pt>
                <c:pt idx="22">
                  <c:v>216</c:v>
                </c:pt>
                <c:pt idx="23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40-4A70-B698-05A6A741A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1811343"/>
        <c:axId val="698789631"/>
      </c:barChart>
      <c:catAx>
        <c:axId val="57181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8789631"/>
        <c:crosses val="autoZero"/>
        <c:auto val="1"/>
        <c:lblAlgn val="ctr"/>
        <c:lblOffset val="100"/>
        <c:noMultiLvlLbl val="0"/>
      </c:catAx>
      <c:valAx>
        <c:axId val="6987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81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64-4023-B3CB-BF6E3BE7953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A64-4023-B3CB-BF6E3BE79537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A64-4023-B3CB-BF6E3BE79537}"/>
              </c:ext>
            </c:extLst>
          </c:dPt>
          <c:dPt>
            <c:idx val="3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64-4023-B3CB-BF6E3BE79537}"/>
              </c:ext>
            </c:extLst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A64-4023-B3CB-BF6E3BE7953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64-4023-B3CB-BF6E3BE795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古代脉冲甲!$I$124:$I$128</c:f>
              <c:strCache>
                <c:ptCount val="5"/>
                <c:pt idx="0">
                  <c:v>大型</c:v>
                </c:pt>
                <c:pt idx="1">
                  <c:v>中型</c:v>
                </c:pt>
                <c:pt idx="2">
                  <c:v>小型基础护盾</c:v>
                </c:pt>
                <c:pt idx="3">
                  <c:v>小型加成护盾</c:v>
                </c:pt>
                <c:pt idx="4">
                  <c:v>小型装甲值</c:v>
                </c:pt>
              </c:strCache>
            </c:strRef>
          </c:cat>
          <c:val>
            <c:numRef>
              <c:f>古代脉冲甲!$J$124:$J$128</c:f>
              <c:numCache>
                <c:formatCode>General</c:formatCode>
                <c:ptCount val="5"/>
                <c:pt idx="0">
                  <c:v>3240</c:v>
                </c:pt>
                <c:pt idx="1">
                  <c:v>1080</c:v>
                </c:pt>
                <c:pt idx="2">
                  <c:v>100</c:v>
                </c:pt>
                <c:pt idx="3">
                  <c:v>100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4-4023-B3CB-BF6E3BE79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3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小型脉冲甲壳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v>船体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脉冲甲壳!$P$2:$P$25</c:f>
              <c:numCache>
                <c:formatCode>General</c:formatCode>
                <c:ptCount val="24"/>
                <c:pt idx="0">
                  <c:v>26</c:v>
                </c:pt>
                <c:pt idx="1">
                  <c:v>39</c:v>
                </c:pt>
                <c:pt idx="2">
                  <c:v>52</c:v>
                </c:pt>
                <c:pt idx="3">
                  <c:v>65</c:v>
                </c:pt>
                <c:pt idx="4">
                  <c:v>78</c:v>
                </c:pt>
                <c:pt idx="5">
                  <c:v>91</c:v>
                </c:pt>
                <c:pt idx="6">
                  <c:v>104</c:v>
                </c:pt>
                <c:pt idx="7">
                  <c:v>117</c:v>
                </c:pt>
                <c:pt idx="8">
                  <c:v>130</c:v>
                </c:pt>
                <c:pt idx="9">
                  <c:v>143</c:v>
                </c:pt>
                <c:pt idx="10">
                  <c:v>156</c:v>
                </c:pt>
                <c:pt idx="11">
                  <c:v>169</c:v>
                </c:pt>
                <c:pt idx="12">
                  <c:v>182</c:v>
                </c:pt>
                <c:pt idx="13">
                  <c:v>195</c:v>
                </c:pt>
                <c:pt idx="14">
                  <c:v>208</c:v>
                </c:pt>
                <c:pt idx="15">
                  <c:v>221</c:v>
                </c:pt>
                <c:pt idx="16">
                  <c:v>234</c:v>
                </c:pt>
                <c:pt idx="17">
                  <c:v>247</c:v>
                </c:pt>
                <c:pt idx="18">
                  <c:v>260</c:v>
                </c:pt>
                <c:pt idx="19">
                  <c:v>273</c:v>
                </c:pt>
                <c:pt idx="20">
                  <c:v>286</c:v>
                </c:pt>
                <c:pt idx="21">
                  <c:v>299</c:v>
                </c:pt>
                <c:pt idx="22">
                  <c:v>312</c:v>
                </c:pt>
                <c:pt idx="23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00-465A-9D65-182848276A7D}"/>
            </c:ext>
          </c:extLst>
        </c:ser>
        <c:ser>
          <c:idx val="0"/>
          <c:order val="1"/>
          <c:tx>
            <c:v>护盾基础值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solidFill>
                <a:schemeClr val="tx2">
                  <a:lumMod val="25000"/>
                  <a:lumOff val="75000"/>
                </a:schemeClr>
              </a:solidFill>
            </a:ln>
            <a:effectLst/>
          </c:spPr>
          <c:invertIfNegative val="0"/>
          <c:cat>
            <c:numRef>
              <c:f>脉冲甲壳!$A$2:$A$25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脉冲甲壳!$E$2:$E$25</c:f>
              <c:numCache>
                <c:formatCode>General</c:formatCode>
                <c:ptCount val="24"/>
                <c:pt idx="0">
                  <c:v>160</c:v>
                </c:pt>
                <c:pt idx="1">
                  <c:v>240</c:v>
                </c:pt>
                <c:pt idx="2">
                  <c:v>320</c:v>
                </c:pt>
                <c:pt idx="3">
                  <c:v>400</c:v>
                </c:pt>
                <c:pt idx="4">
                  <c:v>480</c:v>
                </c:pt>
                <c:pt idx="5">
                  <c:v>560</c:v>
                </c:pt>
                <c:pt idx="6">
                  <c:v>640</c:v>
                </c:pt>
                <c:pt idx="7">
                  <c:v>720</c:v>
                </c:pt>
                <c:pt idx="8">
                  <c:v>800</c:v>
                </c:pt>
                <c:pt idx="9">
                  <c:v>880</c:v>
                </c:pt>
                <c:pt idx="10">
                  <c:v>960</c:v>
                </c:pt>
                <c:pt idx="11">
                  <c:v>1040</c:v>
                </c:pt>
                <c:pt idx="12">
                  <c:v>1120</c:v>
                </c:pt>
                <c:pt idx="13">
                  <c:v>1200</c:v>
                </c:pt>
                <c:pt idx="14">
                  <c:v>1280</c:v>
                </c:pt>
                <c:pt idx="15">
                  <c:v>1360</c:v>
                </c:pt>
                <c:pt idx="16">
                  <c:v>1440</c:v>
                </c:pt>
                <c:pt idx="17">
                  <c:v>1520</c:v>
                </c:pt>
                <c:pt idx="18">
                  <c:v>1600</c:v>
                </c:pt>
                <c:pt idx="19">
                  <c:v>1680</c:v>
                </c:pt>
                <c:pt idx="20">
                  <c:v>1760</c:v>
                </c:pt>
                <c:pt idx="21">
                  <c:v>1840</c:v>
                </c:pt>
                <c:pt idx="22">
                  <c:v>1920</c:v>
                </c:pt>
                <c:pt idx="2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0-465A-9D65-182848276A7D}"/>
            </c:ext>
          </c:extLst>
        </c:ser>
        <c:ser>
          <c:idx val="1"/>
          <c:order val="2"/>
          <c:tx>
            <c:v>护盾加成值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脉冲甲壳!$A$2:$A$25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脉冲甲壳!$G$2:$G$25</c:f>
              <c:numCache>
                <c:formatCode>General</c:formatCode>
                <c:ptCount val="24"/>
                <c:pt idx="0">
                  <c:v>160</c:v>
                </c:pt>
                <c:pt idx="1">
                  <c:v>240</c:v>
                </c:pt>
                <c:pt idx="2">
                  <c:v>320</c:v>
                </c:pt>
                <c:pt idx="3">
                  <c:v>400</c:v>
                </c:pt>
                <c:pt idx="4">
                  <c:v>480</c:v>
                </c:pt>
                <c:pt idx="5">
                  <c:v>560</c:v>
                </c:pt>
                <c:pt idx="6">
                  <c:v>640</c:v>
                </c:pt>
                <c:pt idx="7">
                  <c:v>720</c:v>
                </c:pt>
                <c:pt idx="8">
                  <c:v>800</c:v>
                </c:pt>
                <c:pt idx="9">
                  <c:v>880</c:v>
                </c:pt>
                <c:pt idx="10">
                  <c:v>960</c:v>
                </c:pt>
                <c:pt idx="11">
                  <c:v>1040</c:v>
                </c:pt>
                <c:pt idx="12">
                  <c:v>1120</c:v>
                </c:pt>
                <c:pt idx="13">
                  <c:v>1200</c:v>
                </c:pt>
                <c:pt idx="14">
                  <c:v>1280</c:v>
                </c:pt>
                <c:pt idx="15">
                  <c:v>1360</c:v>
                </c:pt>
                <c:pt idx="16">
                  <c:v>1440</c:v>
                </c:pt>
                <c:pt idx="17">
                  <c:v>1520</c:v>
                </c:pt>
                <c:pt idx="18">
                  <c:v>1600</c:v>
                </c:pt>
                <c:pt idx="19">
                  <c:v>1680</c:v>
                </c:pt>
                <c:pt idx="20">
                  <c:v>1760</c:v>
                </c:pt>
                <c:pt idx="21">
                  <c:v>1840</c:v>
                </c:pt>
                <c:pt idx="22">
                  <c:v>1920</c:v>
                </c:pt>
                <c:pt idx="2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0-465A-9D65-182848276A7D}"/>
            </c:ext>
          </c:extLst>
        </c:ser>
        <c:ser>
          <c:idx val="3"/>
          <c:order val="3"/>
          <c:tx>
            <c:v>装甲值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脉冲甲壳!$A$2:$A$25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脉冲甲壳!$L$2:$L$25</c:f>
              <c:numCache>
                <c:formatCode>General</c:formatCode>
                <c:ptCount val="24"/>
                <c:pt idx="0">
                  <c:v>256</c:v>
                </c:pt>
                <c:pt idx="1">
                  <c:v>384</c:v>
                </c:pt>
                <c:pt idx="2">
                  <c:v>512</c:v>
                </c:pt>
                <c:pt idx="3">
                  <c:v>640</c:v>
                </c:pt>
                <c:pt idx="4">
                  <c:v>768</c:v>
                </c:pt>
                <c:pt idx="5">
                  <c:v>896</c:v>
                </c:pt>
                <c:pt idx="6">
                  <c:v>1024</c:v>
                </c:pt>
                <c:pt idx="7">
                  <c:v>1152</c:v>
                </c:pt>
                <c:pt idx="8">
                  <c:v>1280</c:v>
                </c:pt>
                <c:pt idx="9">
                  <c:v>1408</c:v>
                </c:pt>
                <c:pt idx="10">
                  <c:v>1536</c:v>
                </c:pt>
                <c:pt idx="11">
                  <c:v>1664</c:v>
                </c:pt>
                <c:pt idx="12">
                  <c:v>1792</c:v>
                </c:pt>
                <c:pt idx="13">
                  <c:v>1920</c:v>
                </c:pt>
                <c:pt idx="14">
                  <c:v>2048</c:v>
                </c:pt>
                <c:pt idx="15">
                  <c:v>2176</c:v>
                </c:pt>
                <c:pt idx="16">
                  <c:v>2304</c:v>
                </c:pt>
                <c:pt idx="17">
                  <c:v>2432</c:v>
                </c:pt>
                <c:pt idx="18">
                  <c:v>2560</c:v>
                </c:pt>
                <c:pt idx="19">
                  <c:v>2688</c:v>
                </c:pt>
                <c:pt idx="20">
                  <c:v>2816</c:v>
                </c:pt>
                <c:pt idx="21">
                  <c:v>2944</c:v>
                </c:pt>
                <c:pt idx="22">
                  <c:v>3072</c:v>
                </c:pt>
                <c:pt idx="23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0-465A-9D65-182848276A7D}"/>
            </c:ext>
          </c:extLst>
        </c:ser>
        <c:ser>
          <c:idx val="2"/>
          <c:order val="4"/>
          <c:tx>
            <c:v>总护盾值</c:v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numRef>
              <c:f>脉冲甲壳!$A$2:$A$25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脉冲甲壳!$H$2:$H$25</c:f>
              <c:numCache>
                <c:formatCode>General</c:formatCode>
                <c:ptCount val="24"/>
                <c:pt idx="0">
                  <c:v>320</c:v>
                </c:pt>
                <c:pt idx="1">
                  <c:v>480</c:v>
                </c:pt>
                <c:pt idx="2">
                  <c:v>640</c:v>
                </c:pt>
                <c:pt idx="3">
                  <c:v>800</c:v>
                </c:pt>
                <c:pt idx="4">
                  <c:v>960</c:v>
                </c:pt>
                <c:pt idx="5">
                  <c:v>1120</c:v>
                </c:pt>
                <c:pt idx="6">
                  <c:v>1280</c:v>
                </c:pt>
                <c:pt idx="7">
                  <c:v>1440</c:v>
                </c:pt>
                <c:pt idx="8">
                  <c:v>1600</c:v>
                </c:pt>
                <c:pt idx="9">
                  <c:v>1760</c:v>
                </c:pt>
                <c:pt idx="10">
                  <c:v>1920</c:v>
                </c:pt>
                <c:pt idx="11">
                  <c:v>2080</c:v>
                </c:pt>
                <c:pt idx="12">
                  <c:v>2240</c:v>
                </c:pt>
                <c:pt idx="13">
                  <c:v>2400</c:v>
                </c:pt>
                <c:pt idx="14">
                  <c:v>2560</c:v>
                </c:pt>
                <c:pt idx="15">
                  <c:v>2720</c:v>
                </c:pt>
                <c:pt idx="16">
                  <c:v>2880</c:v>
                </c:pt>
                <c:pt idx="17">
                  <c:v>3040</c:v>
                </c:pt>
                <c:pt idx="18">
                  <c:v>3200</c:v>
                </c:pt>
                <c:pt idx="19">
                  <c:v>3360</c:v>
                </c:pt>
                <c:pt idx="20">
                  <c:v>3520</c:v>
                </c:pt>
                <c:pt idx="21">
                  <c:v>3680</c:v>
                </c:pt>
                <c:pt idx="22">
                  <c:v>3840</c:v>
                </c:pt>
                <c:pt idx="2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0-465A-9D65-182848276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693520"/>
        <c:axId val="1031694000"/>
      </c:barChart>
      <c:catAx>
        <c:axId val="10316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1694000"/>
        <c:crosses val="autoZero"/>
        <c:auto val="1"/>
        <c:lblAlgn val="ctr"/>
        <c:lblOffset val="100"/>
        <c:noMultiLvlLbl val="0"/>
      </c:catAx>
      <c:valAx>
        <c:axId val="103169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169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中型脉冲甲壳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v>船体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脉冲甲壳!$P$28:$P$51</c:f>
              <c:numCache>
                <c:formatCode>General</c:formatCode>
                <c:ptCount val="24"/>
                <c:pt idx="0">
                  <c:v>78</c:v>
                </c:pt>
                <c:pt idx="1">
                  <c:v>117</c:v>
                </c:pt>
                <c:pt idx="2">
                  <c:v>156</c:v>
                </c:pt>
                <c:pt idx="3">
                  <c:v>195</c:v>
                </c:pt>
                <c:pt idx="4">
                  <c:v>234</c:v>
                </c:pt>
                <c:pt idx="5">
                  <c:v>273</c:v>
                </c:pt>
                <c:pt idx="6">
                  <c:v>312</c:v>
                </c:pt>
                <c:pt idx="7">
                  <c:v>351</c:v>
                </c:pt>
                <c:pt idx="8">
                  <c:v>390</c:v>
                </c:pt>
                <c:pt idx="9">
                  <c:v>429</c:v>
                </c:pt>
                <c:pt idx="10">
                  <c:v>468</c:v>
                </c:pt>
                <c:pt idx="11">
                  <c:v>507</c:v>
                </c:pt>
                <c:pt idx="12">
                  <c:v>546</c:v>
                </c:pt>
                <c:pt idx="13">
                  <c:v>585</c:v>
                </c:pt>
                <c:pt idx="14">
                  <c:v>624</c:v>
                </c:pt>
                <c:pt idx="15">
                  <c:v>663</c:v>
                </c:pt>
                <c:pt idx="16">
                  <c:v>702</c:v>
                </c:pt>
                <c:pt idx="17">
                  <c:v>741</c:v>
                </c:pt>
                <c:pt idx="18">
                  <c:v>780</c:v>
                </c:pt>
                <c:pt idx="19">
                  <c:v>819</c:v>
                </c:pt>
                <c:pt idx="20">
                  <c:v>858</c:v>
                </c:pt>
                <c:pt idx="21">
                  <c:v>897</c:v>
                </c:pt>
                <c:pt idx="22">
                  <c:v>936</c:v>
                </c:pt>
                <c:pt idx="23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18-49DA-BAD2-398A4B7499C9}"/>
            </c:ext>
          </c:extLst>
        </c:ser>
        <c:ser>
          <c:idx val="0"/>
          <c:order val="1"/>
          <c:tx>
            <c:v>护盾基础值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脉冲甲壳!$A$28:$A$51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脉冲甲壳!$E$28:$E$51</c:f>
              <c:numCache>
                <c:formatCode>General</c:formatCode>
                <c:ptCount val="24"/>
                <c:pt idx="0">
                  <c:v>480</c:v>
                </c:pt>
                <c:pt idx="1">
                  <c:v>720</c:v>
                </c:pt>
                <c:pt idx="2">
                  <c:v>960</c:v>
                </c:pt>
                <c:pt idx="3">
                  <c:v>1200</c:v>
                </c:pt>
                <c:pt idx="4">
                  <c:v>1440</c:v>
                </c:pt>
                <c:pt idx="5">
                  <c:v>1680</c:v>
                </c:pt>
                <c:pt idx="6">
                  <c:v>1920</c:v>
                </c:pt>
                <c:pt idx="7">
                  <c:v>2160</c:v>
                </c:pt>
                <c:pt idx="8">
                  <c:v>2400</c:v>
                </c:pt>
                <c:pt idx="9">
                  <c:v>2640</c:v>
                </c:pt>
                <c:pt idx="10">
                  <c:v>2880</c:v>
                </c:pt>
                <c:pt idx="11">
                  <c:v>3120</c:v>
                </c:pt>
                <c:pt idx="12">
                  <c:v>3360</c:v>
                </c:pt>
                <c:pt idx="13">
                  <c:v>3600</c:v>
                </c:pt>
                <c:pt idx="14">
                  <c:v>3840</c:v>
                </c:pt>
                <c:pt idx="15">
                  <c:v>4080</c:v>
                </c:pt>
                <c:pt idx="16">
                  <c:v>4320</c:v>
                </c:pt>
                <c:pt idx="17">
                  <c:v>4560</c:v>
                </c:pt>
                <c:pt idx="18">
                  <c:v>4800</c:v>
                </c:pt>
                <c:pt idx="19">
                  <c:v>5040</c:v>
                </c:pt>
                <c:pt idx="20">
                  <c:v>5280</c:v>
                </c:pt>
                <c:pt idx="21">
                  <c:v>5520</c:v>
                </c:pt>
                <c:pt idx="22">
                  <c:v>5760</c:v>
                </c:pt>
                <c:pt idx="2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8-49DA-BAD2-398A4B7499C9}"/>
            </c:ext>
          </c:extLst>
        </c:ser>
        <c:ser>
          <c:idx val="1"/>
          <c:order val="2"/>
          <c:tx>
            <c:v>护盾加成值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脉冲甲壳!$A$28:$A$51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脉冲甲壳!$G$28:$G$51</c:f>
              <c:numCache>
                <c:formatCode>General</c:formatCode>
                <c:ptCount val="24"/>
                <c:pt idx="0">
                  <c:v>480</c:v>
                </c:pt>
                <c:pt idx="1">
                  <c:v>720</c:v>
                </c:pt>
                <c:pt idx="2">
                  <c:v>960</c:v>
                </c:pt>
                <c:pt idx="3">
                  <c:v>1200</c:v>
                </c:pt>
                <c:pt idx="4">
                  <c:v>1440</c:v>
                </c:pt>
                <c:pt idx="5">
                  <c:v>1680</c:v>
                </c:pt>
                <c:pt idx="6">
                  <c:v>1920</c:v>
                </c:pt>
                <c:pt idx="7">
                  <c:v>2160</c:v>
                </c:pt>
                <c:pt idx="8">
                  <c:v>2400</c:v>
                </c:pt>
                <c:pt idx="9">
                  <c:v>2640</c:v>
                </c:pt>
                <c:pt idx="10">
                  <c:v>2880</c:v>
                </c:pt>
                <c:pt idx="11">
                  <c:v>3120</c:v>
                </c:pt>
                <c:pt idx="12">
                  <c:v>3360</c:v>
                </c:pt>
                <c:pt idx="13">
                  <c:v>3600</c:v>
                </c:pt>
                <c:pt idx="14">
                  <c:v>3840</c:v>
                </c:pt>
                <c:pt idx="15">
                  <c:v>4080</c:v>
                </c:pt>
                <c:pt idx="16">
                  <c:v>4320</c:v>
                </c:pt>
                <c:pt idx="17">
                  <c:v>4560</c:v>
                </c:pt>
                <c:pt idx="18">
                  <c:v>4800</c:v>
                </c:pt>
                <c:pt idx="19">
                  <c:v>5040</c:v>
                </c:pt>
                <c:pt idx="20">
                  <c:v>5280</c:v>
                </c:pt>
                <c:pt idx="21">
                  <c:v>5520</c:v>
                </c:pt>
                <c:pt idx="22">
                  <c:v>5760</c:v>
                </c:pt>
                <c:pt idx="2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8-49DA-BAD2-398A4B7499C9}"/>
            </c:ext>
          </c:extLst>
        </c:ser>
        <c:ser>
          <c:idx val="3"/>
          <c:order val="3"/>
          <c:tx>
            <c:v>装甲值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脉冲甲壳!$A$28:$A$51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脉冲甲壳!$L$28:$L$51</c:f>
              <c:numCache>
                <c:formatCode>General</c:formatCode>
                <c:ptCount val="24"/>
                <c:pt idx="0">
                  <c:v>768</c:v>
                </c:pt>
                <c:pt idx="1">
                  <c:v>1152</c:v>
                </c:pt>
                <c:pt idx="2">
                  <c:v>1536</c:v>
                </c:pt>
                <c:pt idx="3">
                  <c:v>1920</c:v>
                </c:pt>
                <c:pt idx="4">
                  <c:v>2304</c:v>
                </c:pt>
                <c:pt idx="5">
                  <c:v>2688</c:v>
                </c:pt>
                <c:pt idx="6">
                  <c:v>3072</c:v>
                </c:pt>
                <c:pt idx="7">
                  <c:v>3456</c:v>
                </c:pt>
                <c:pt idx="8">
                  <c:v>3840</c:v>
                </c:pt>
                <c:pt idx="9">
                  <c:v>4224</c:v>
                </c:pt>
                <c:pt idx="10">
                  <c:v>4608</c:v>
                </c:pt>
                <c:pt idx="11">
                  <c:v>4992</c:v>
                </c:pt>
                <c:pt idx="12">
                  <c:v>5376</c:v>
                </c:pt>
                <c:pt idx="13">
                  <c:v>5760</c:v>
                </c:pt>
                <c:pt idx="14">
                  <c:v>6144</c:v>
                </c:pt>
                <c:pt idx="15">
                  <c:v>6528</c:v>
                </c:pt>
                <c:pt idx="16">
                  <c:v>6912</c:v>
                </c:pt>
                <c:pt idx="17">
                  <c:v>7296</c:v>
                </c:pt>
                <c:pt idx="18">
                  <c:v>7680</c:v>
                </c:pt>
                <c:pt idx="19">
                  <c:v>8064</c:v>
                </c:pt>
                <c:pt idx="20">
                  <c:v>8448</c:v>
                </c:pt>
                <c:pt idx="21">
                  <c:v>8832</c:v>
                </c:pt>
                <c:pt idx="22">
                  <c:v>9216</c:v>
                </c:pt>
                <c:pt idx="23">
                  <c:v>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8-49DA-BAD2-398A4B7499C9}"/>
            </c:ext>
          </c:extLst>
        </c:ser>
        <c:ser>
          <c:idx val="2"/>
          <c:order val="4"/>
          <c:tx>
            <c:v>总护盾值</c:v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numRef>
              <c:f>脉冲甲壳!$A$28:$A$51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脉冲甲壳!$H$28:$H$51</c:f>
              <c:numCache>
                <c:formatCode>General</c:formatCode>
                <c:ptCount val="24"/>
                <c:pt idx="0">
                  <c:v>960</c:v>
                </c:pt>
                <c:pt idx="1">
                  <c:v>1440</c:v>
                </c:pt>
                <c:pt idx="2">
                  <c:v>1920</c:v>
                </c:pt>
                <c:pt idx="3">
                  <c:v>2400</c:v>
                </c:pt>
                <c:pt idx="4">
                  <c:v>2880</c:v>
                </c:pt>
                <c:pt idx="5">
                  <c:v>3360</c:v>
                </c:pt>
                <c:pt idx="6">
                  <c:v>3840</c:v>
                </c:pt>
                <c:pt idx="7">
                  <c:v>4320</c:v>
                </c:pt>
                <c:pt idx="8">
                  <c:v>4800</c:v>
                </c:pt>
                <c:pt idx="9">
                  <c:v>5280</c:v>
                </c:pt>
                <c:pt idx="10">
                  <c:v>5760</c:v>
                </c:pt>
                <c:pt idx="11">
                  <c:v>6240</c:v>
                </c:pt>
                <c:pt idx="12">
                  <c:v>6720</c:v>
                </c:pt>
                <c:pt idx="13">
                  <c:v>7200</c:v>
                </c:pt>
                <c:pt idx="14">
                  <c:v>7680</c:v>
                </c:pt>
                <c:pt idx="15">
                  <c:v>8160</c:v>
                </c:pt>
                <c:pt idx="16">
                  <c:v>8640</c:v>
                </c:pt>
                <c:pt idx="17">
                  <c:v>9120</c:v>
                </c:pt>
                <c:pt idx="18">
                  <c:v>9600</c:v>
                </c:pt>
                <c:pt idx="19">
                  <c:v>10080</c:v>
                </c:pt>
                <c:pt idx="20">
                  <c:v>10560</c:v>
                </c:pt>
                <c:pt idx="21">
                  <c:v>11040</c:v>
                </c:pt>
                <c:pt idx="22">
                  <c:v>11520</c:v>
                </c:pt>
                <c:pt idx="2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8-49DA-BAD2-398A4B749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989552"/>
        <c:axId val="427991472"/>
      </c:barChart>
      <c:catAx>
        <c:axId val="42798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991472"/>
        <c:crosses val="autoZero"/>
        <c:auto val="1"/>
        <c:lblAlgn val="ctr"/>
        <c:lblOffset val="100"/>
        <c:noMultiLvlLbl val="0"/>
      </c:catAx>
      <c:valAx>
        <c:axId val="42799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98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大型脉冲甲壳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v>船体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脉冲甲壳!$P$55:$P$78</c:f>
              <c:numCache>
                <c:formatCode>General</c:formatCode>
                <c:ptCount val="24"/>
                <c:pt idx="0">
                  <c:v>234</c:v>
                </c:pt>
                <c:pt idx="1">
                  <c:v>351</c:v>
                </c:pt>
                <c:pt idx="2">
                  <c:v>468</c:v>
                </c:pt>
                <c:pt idx="3">
                  <c:v>585</c:v>
                </c:pt>
                <c:pt idx="4">
                  <c:v>702</c:v>
                </c:pt>
                <c:pt idx="5">
                  <c:v>819</c:v>
                </c:pt>
                <c:pt idx="6">
                  <c:v>936</c:v>
                </c:pt>
                <c:pt idx="7">
                  <c:v>1053</c:v>
                </c:pt>
                <c:pt idx="8">
                  <c:v>1170</c:v>
                </c:pt>
                <c:pt idx="9">
                  <c:v>1287</c:v>
                </c:pt>
                <c:pt idx="10">
                  <c:v>1404</c:v>
                </c:pt>
                <c:pt idx="11">
                  <c:v>1521</c:v>
                </c:pt>
                <c:pt idx="12">
                  <c:v>1638</c:v>
                </c:pt>
                <c:pt idx="13">
                  <c:v>1755</c:v>
                </c:pt>
                <c:pt idx="14">
                  <c:v>1872</c:v>
                </c:pt>
                <c:pt idx="15">
                  <c:v>1989</c:v>
                </c:pt>
                <c:pt idx="16">
                  <c:v>2106</c:v>
                </c:pt>
                <c:pt idx="17">
                  <c:v>2223</c:v>
                </c:pt>
                <c:pt idx="18">
                  <c:v>2340</c:v>
                </c:pt>
                <c:pt idx="19">
                  <c:v>2457</c:v>
                </c:pt>
                <c:pt idx="20">
                  <c:v>2574</c:v>
                </c:pt>
                <c:pt idx="21">
                  <c:v>2691</c:v>
                </c:pt>
                <c:pt idx="22">
                  <c:v>2808</c:v>
                </c:pt>
                <c:pt idx="23">
                  <c:v>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D2-44CA-8B67-24DFEBD14931}"/>
            </c:ext>
          </c:extLst>
        </c:ser>
        <c:ser>
          <c:idx val="0"/>
          <c:order val="1"/>
          <c:tx>
            <c:v>护盾基础值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脉冲甲壳!$A$55:$A$78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脉冲甲壳!$E$55:$E$78</c:f>
              <c:numCache>
                <c:formatCode>General</c:formatCode>
                <c:ptCount val="24"/>
                <c:pt idx="0">
                  <c:v>1440</c:v>
                </c:pt>
                <c:pt idx="1">
                  <c:v>2160</c:v>
                </c:pt>
                <c:pt idx="2">
                  <c:v>2880</c:v>
                </c:pt>
                <c:pt idx="3">
                  <c:v>3600</c:v>
                </c:pt>
                <c:pt idx="4">
                  <c:v>4320</c:v>
                </c:pt>
                <c:pt idx="5">
                  <c:v>5040</c:v>
                </c:pt>
                <c:pt idx="6">
                  <c:v>5760</c:v>
                </c:pt>
                <c:pt idx="7">
                  <c:v>6480</c:v>
                </c:pt>
                <c:pt idx="8">
                  <c:v>7200</c:v>
                </c:pt>
                <c:pt idx="9">
                  <c:v>7920</c:v>
                </c:pt>
                <c:pt idx="10">
                  <c:v>8640</c:v>
                </c:pt>
                <c:pt idx="11">
                  <c:v>9360</c:v>
                </c:pt>
                <c:pt idx="12">
                  <c:v>10080</c:v>
                </c:pt>
                <c:pt idx="13">
                  <c:v>10800</c:v>
                </c:pt>
                <c:pt idx="14">
                  <c:v>11520</c:v>
                </c:pt>
                <c:pt idx="15">
                  <c:v>12240</c:v>
                </c:pt>
                <c:pt idx="16">
                  <c:v>12960</c:v>
                </c:pt>
                <c:pt idx="17">
                  <c:v>13680</c:v>
                </c:pt>
                <c:pt idx="18">
                  <c:v>14400</c:v>
                </c:pt>
                <c:pt idx="19">
                  <c:v>15120</c:v>
                </c:pt>
                <c:pt idx="20">
                  <c:v>15840</c:v>
                </c:pt>
                <c:pt idx="21">
                  <c:v>16560</c:v>
                </c:pt>
                <c:pt idx="22">
                  <c:v>17280</c:v>
                </c:pt>
                <c:pt idx="2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2-44CA-8B67-24DFEBD14931}"/>
            </c:ext>
          </c:extLst>
        </c:ser>
        <c:ser>
          <c:idx val="1"/>
          <c:order val="2"/>
          <c:tx>
            <c:v>护盾加成值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脉冲甲壳!$A$55:$A$78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脉冲甲壳!$G$55:$G$78</c:f>
              <c:numCache>
                <c:formatCode>General</c:formatCode>
                <c:ptCount val="24"/>
                <c:pt idx="0">
                  <c:v>1440</c:v>
                </c:pt>
                <c:pt idx="1">
                  <c:v>2160</c:v>
                </c:pt>
                <c:pt idx="2">
                  <c:v>2880</c:v>
                </c:pt>
                <c:pt idx="3">
                  <c:v>3600</c:v>
                </c:pt>
                <c:pt idx="4">
                  <c:v>4320</c:v>
                </c:pt>
                <c:pt idx="5">
                  <c:v>5040</c:v>
                </c:pt>
                <c:pt idx="6">
                  <c:v>5760</c:v>
                </c:pt>
                <c:pt idx="7">
                  <c:v>6480</c:v>
                </c:pt>
                <c:pt idx="8">
                  <c:v>7200</c:v>
                </c:pt>
                <c:pt idx="9">
                  <c:v>7920</c:v>
                </c:pt>
                <c:pt idx="10">
                  <c:v>8640</c:v>
                </c:pt>
                <c:pt idx="11">
                  <c:v>9360</c:v>
                </c:pt>
                <c:pt idx="12">
                  <c:v>10080</c:v>
                </c:pt>
                <c:pt idx="13">
                  <c:v>10800</c:v>
                </c:pt>
                <c:pt idx="14">
                  <c:v>11520</c:v>
                </c:pt>
                <c:pt idx="15">
                  <c:v>12240</c:v>
                </c:pt>
                <c:pt idx="16">
                  <c:v>12960</c:v>
                </c:pt>
                <c:pt idx="17">
                  <c:v>13680</c:v>
                </c:pt>
                <c:pt idx="18">
                  <c:v>14400</c:v>
                </c:pt>
                <c:pt idx="19">
                  <c:v>15120</c:v>
                </c:pt>
                <c:pt idx="20">
                  <c:v>15840</c:v>
                </c:pt>
                <c:pt idx="21">
                  <c:v>16560</c:v>
                </c:pt>
                <c:pt idx="22">
                  <c:v>17280</c:v>
                </c:pt>
                <c:pt idx="2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D2-44CA-8B67-24DFEBD14931}"/>
            </c:ext>
          </c:extLst>
        </c:ser>
        <c:ser>
          <c:idx val="3"/>
          <c:order val="3"/>
          <c:tx>
            <c:v>装甲值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脉冲甲壳!$A$55:$A$78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脉冲甲壳!$L$55:$L$78</c:f>
              <c:numCache>
                <c:formatCode>General</c:formatCode>
                <c:ptCount val="24"/>
                <c:pt idx="0">
                  <c:v>2304</c:v>
                </c:pt>
                <c:pt idx="1">
                  <c:v>3456</c:v>
                </c:pt>
                <c:pt idx="2">
                  <c:v>4608</c:v>
                </c:pt>
                <c:pt idx="3">
                  <c:v>5760</c:v>
                </c:pt>
                <c:pt idx="4">
                  <c:v>6912</c:v>
                </c:pt>
                <c:pt idx="5">
                  <c:v>8064</c:v>
                </c:pt>
                <c:pt idx="6">
                  <c:v>9216</c:v>
                </c:pt>
                <c:pt idx="7">
                  <c:v>10368</c:v>
                </c:pt>
                <c:pt idx="8">
                  <c:v>11520</c:v>
                </c:pt>
                <c:pt idx="9">
                  <c:v>12672</c:v>
                </c:pt>
                <c:pt idx="10">
                  <c:v>13824</c:v>
                </c:pt>
                <c:pt idx="11">
                  <c:v>14976</c:v>
                </c:pt>
                <c:pt idx="12">
                  <c:v>16128</c:v>
                </c:pt>
                <c:pt idx="13">
                  <c:v>17280</c:v>
                </c:pt>
                <c:pt idx="14">
                  <c:v>18432</c:v>
                </c:pt>
                <c:pt idx="15">
                  <c:v>19584</c:v>
                </c:pt>
                <c:pt idx="16">
                  <c:v>20736</c:v>
                </c:pt>
                <c:pt idx="17">
                  <c:v>21888</c:v>
                </c:pt>
                <c:pt idx="18">
                  <c:v>23040</c:v>
                </c:pt>
                <c:pt idx="19">
                  <c:v>24192</c:v>
                </c:pt>
                <c:pt idx="20">
                  <c:v>25344</c:v>
                </c:pt>
                <c:pt idx="21">
                  <c:v>26496</c:v>
                </c:pt>
                <c:pt idx="22">
                  <c:v>27648</c:v>
                </c:pt>
                <c:pt idx="23">
                  <c:v>28800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D2-44CA-8B67-24DFEBD14931}"/>
            </c:ext>
          </c:extLst>
        </c:ser>
        <c:ser>
          <c:idx val="2"/>
          <c:order val="4"/>
          <c:tx>
            <c:v>总护盾值</c:v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numRef>
              <c:f>脉冲甲壳!$A$55:$A$78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脉冲甲壳!$H$55:$H$78</c:f>
              <c:numCache>
                <c:formatCode>General</c:formatCode>
                <c:ptCount val="24"/>
                <c:pt idx="0">
                  <c:v>2880</c:v>
                </c:pt>
                <c:pt idx="1">
                  <c:v>4320</c:v>
                </c:pt>
                <c:pt idx="2">
                  <c:v>5760</c:v>
                </c:pt>
                <c:pt idx="3">
                  <c:v>7200</c:v>
                </c:pt>
                <c:pt idx="4">
                  <c:v>8640</c:v>
                </c:pt>
                <c:pt idx="5">
                  <c:v>10080</c:v>
                </c:pt>
                <c:pt idx="6">
                  <c:v>11520</c:v>
                </c:pt>
                <c:pt idx="7">
                  <c:v>12960</c:v>
                </c:pt>
                <c:pt idx="8">
                  <c:v>14400</c:v>
                </c:pt>
                <c:pt idx="9">
                  <c:v>15840</c:v>
                </c:pt>
                <c:pt idx="10">
                  <c:v>17280</c:v>
                </c:pt>
                <c:pt idx="11">
                  <c:v>18720</c:v>
                </c:pt>
                <c:pt idx="12">
                  <c:v>20160</c:v>
                </c:pt>
                <c:pt idx="13">
                  <c:v>21600</c:v>
                </c:pt>
                <c:pt idx="14">
                  <c:v>23040</c:v>
                </c:pt>
                <c:pt idx="15">
                  <c:v>24480</c:v>
                </c:pt>
                <c:pt idx="16">
                  <c:v>25920</c:v>
                </c:pt>
                <c:pt idx="17">
                  <c:v>27360</c:v>
                </c:pt>
                <c:pt idx="18">
                  <c:v>28800</c:v>
                </c:pt>
                <c:pt idx="19">
                  <c:v>30240</c:v>
                </c:pt>
                <c:pt idx="20">
                  <c:v>31680</c:v>
                </c:pt>
                <c:pt idx="21">
                  <c:v>33120</c:v>
                </c:pt>
                <c:pt idx="22">
                  <c:v>34560</c:v>
                </c:pt>
                <c:pt idx="2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D2-44CA-8B67-24DFEBD14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513776"/>
        <c:axId val="1031517136"/>
      </c:barChart>
      <c:catAx>
        <c:axId val="103151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1517136"/>
        <c:crosses val="autoZero"/>
        <c:auto val="1"/>
        <c:lblAlgn val="ctr"/>
        <c:lblOffset val="100"/>
        <c:noMultiLvlLbl val="0"/>
      </c:catAx>
      <c:valAx>
        <c:axId val="10315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151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尺寸盾甲比例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C5-4301-9B9C-878503ADE197}"/>
              </c:ext>
            </c:extLst>
          </c:dPt>
          <c:dPt>
            <c:idx val="1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C5-4301-9B9C-878503ADE197}"/>
              </c:ext>
            </c:extLst>
          </c:dPt>
          <c:dPt>
            <c:idx val="2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C5-4301-9B9C-878503ADE197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C5-4301-9B9C-878503ADE197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C5-4301-9B9C-878503ADE19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accent1">
                    <a:alpha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C5-4301-9B9C-878503ADE197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脉冲甲壳!$C$117:$C$121</c:f>
              <c:strCache>
                <c:ptCount val="5"/>
                <c:pt idx="0">
                  <c:v>大型</c:v>
                </c:pt>
                <c:pt idx="1">
                  <c:v>中型</c:v>
                </c:pt>
                <c:pt idx="2">
                  <c:v>小型基础护盾</c:v>
                </c:pt>
                <c:pt idx="3">
                  <c:v>小型加成护盾</c:v>
                </c:pt>
                <c:pt idx="4">
                  <c:v>小型装甲值</c:v>
                </c:pt>
              </c:strCache>
            </c:strRef>
          </c:cat>
          <c:val>
            <c:numRef>
              <c:f>脉冲甲壳!$D$117:$D$121</c:f>
              <c:numCache>
                <c:formatCode>General</c:formatCode>
                <c:ptCount val="5"/>
                <c:pt idx="0">
                  <c:v>2592</c:v>
                </c:pt>
                <c:pt idx="1">
                  <c:v>864</c:v>
                </c:pt>
                <c:pt idx="2">
                  <c:v>80</c:v>
                </c:pt>
                <c:pt idx="3">
                  <c:v>80</c:v>
                </c:pt>
                <c:pt idx="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C5-4301-9B9C-878503ADE1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00"/>
        <c:splitType val="pos"/>
        <c:splitPos val="3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护盾回复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小型护盾回复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脉冲甲壳!$A$2:$A$25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脉冲甲壳!$J$2:$J$25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D-4C7A-8565-321AF16D20F2}"/>
            </c:ext>
          </c:extLst>
        </c:ser>
        <c:ser>
          <c:idx val="1"/>
          <c:order val="1"/>
          <c:tx>
            <c:v>中型护盾回复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脉冲甲壳!$J$28:$J$51</c:f>
              <c:numCache>
                <c:formatCode>General</c:formatCode>
                <c:ptCount val="24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  <c:pt idx="7">
                  <c:v>27</c:v>
                </c:pt>
                <c:pt idx="8">
                  <c:v>30</c:v>
                </c:pt>
                <c:pt idx="9">
                  <c:v>33</c:v>
                </c:pt>
                <c:pt idx="10">
                  <c:v>36</c:v>
                </c:pt>
                <c:pt idx="11">
                  <c:v>39</c:v>
                </c:pt>
                <c:pt idx="12">
                  <c:v>42</c:v>
                </c:pt>
                <c:pt idx="13">
                  <c:v>45</c:v>
                </c:pt>
                <c:pt idx="14">
                  <c:v>48</c:v>
                </c:pt>
                <c:pt idx="15">
                  <c:v>51</c:v>
                </c:pt>
                <c:pt idx="16">
                  <c:v>54</c:v>
                </c:pt>
                <c:pt idx="17">
                  <c:v>57</c:v>
                </c:pt>
                <c:pt idx="18">
                  <c:v>60</c:v>
                </c:pt>
                <c:pt idx="19">
                  <c:v>63</c:v>
                </c:pt>
                <c:pt idx="20">
                  <c:v>66</c:v>
                </c:pt>
                <c:pt idx="21">
                  <c:v>69</c:v>
                </c:pt>
                <c:pt idx="22">
                  <c:v>72</c:v>
                </c:pt>
                <c:pt idx="2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D-4C7A-8565-321AF16D20F2}"/>
            </c:ext>
          </c:extLst>
        </c:ser>
        <c:ser>
          <c:idx val="2"/>
          <c:order val="2"/>
          <c:tx>
            <c:v>大型护盾回复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脉冲甲壳!$J$55:$J$78</c:f>
              <c:numCache>
                <c:formatCode>General</c:formatCode>
                <c:ptCount val="24"/>
                <c:pt idx="0">
                  <c:v>18</c:v>
                </c:pt>
                <c:pt idx="1">
                  <c:v>27</c:v>
                </c:pt>
                <c:pt idx="2">
                  <c:v>36</c:v>
                </c:pt>
                <c:pt idx="3">
                  <c:v>45</c:v>
                </c:pt>
                <c:pt idx="4">
                  <c:v>54</c:v>
                </c:pt>
                <c:pt idx="5">
                  <c:v>63</c:v>
                </c:pt>
                <c:pt idx="6">
                  <c:v>72</c:v>
                </c:pt>
                <c:pt idx="7">
                  <c:v>81</c:v>
                </c:pt>
                <c:pt idx="8">
                  <c:v>90</c:v>
                </c:pt>
                <c:pt idx="9">
                  <c:v>99</c:v>
                </c:pt>
                <c:pt idx="10">
                  <c:v>108</c:v>
                </c:pt>
                <c:pt idx="11">
                  <c:v>117</c:v>
                </c:pt>
                <c:pt idx="12">
                  <c:v>126</c:v>
                </c:pt>
                <c:pt idx="13">
                  <c:v>135</c:v>
                </c:pt>
                <c:pt idx="14">
                  <c:v>144</c:v>
                </c:pt>
                <c:pt idx="15">
                  <c:v>153</c:v>
                </c:pt>
                <c:pt idx="16">
                  <c:v>162</c:v>
                </c:pt>
                <c:pt idx="17">
                  <c:v>171</c:v>
                </c:pt>
                <c:pt idx="18">
                  <c:v>180</c:v>
                </c:pt>
                <c:pt idx="19">
                  <c:v>189</c:v>
                </c:pt>
                <c:pt idx="20">
                  <c:v>198</c:v>
                </c:pt>
                <c:pt idx="21">
                  <c:v>207</c:v>
                </c:pt>
                <c:pt idx="22">
                  <c:v>216</c:v>
                </c:pt>
                <c:pt idx="23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AD-4C7A-8565-321AF16D2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13165216"/>
        <c:axId val="413170976"/>
      </c:barChart>
      <c:catAx>
        <c:axId val="4131652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3170976"/>
        <c:crosses val="autoZero"/>
        <c:auto val="1"/>
        <c:lblAlgn val="ctr"/>
        <c:lblOffset val="100"/>
        <c:noMultiLvlLbl val="0"/>
      </c:catAx>
      <c:valAx>
        <c:axId val="4131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316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装甲回复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v>小型装甲回复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脉冲甲壳!$N$2:$N$25</c:f>
              <c:numCache>
                <c:formatCode>General</c:formatCode>
                <c:ptCount val="24"/>
                <c:pt idx="0">
                  <c:v>0.32</c:v>
                </c:pt>
                <c:pt idx="1">
                  <c:v>0.48</c:v>
                </c:pt>
                <c:pt idx="2">
                  <c:v>0.64</c:v>
                </c:pt>
                <c:pt idx="3">
                  <c:v>0.8</c:v>
                </c:pt>
                <c:pt idx="4">
                  <c:v>0.96</c:v>
                </c:pt>
                <c:pt idx="5">
                  <c:v>1.1200000000000001</c:v>
                </c:pt>
                <c:pt idx="6">
                  <c:v>1.28</c:v>
                </c:pt>
                <c:pt idx="7">
                  <c:v>1.44</c:v>
                </c:pt>
                <c:pt idx="8">
                  <c:v>1.6</c:v>
                </c:pt>
                <c:pt idx="9">
                  <c:v>1.76</c:v>
                </c:pt>
                <c:pt idx="10">
                  <c:v>1.92</c:v>
                </c:pt>
                <c:pt idx="11">
                  <c:v>2.08</c:v>
                </c:pt>
                <c:pt idx="12">
                  <c:v>2.2400000000000002</c:v>
                </c:pt>
                <c:pt idx="13">
                  <c:v>2.4</c:v>
                </c:pt>
                <c:pt idx="14">
                  <c:v>2.56</c:v>
                </c:pt>
                <c:pt idx="15">
                  <c:v>2.72</c:v>
                </c:pt>
                <c:pt idx="16">
                  <c:v>2.88</c:v>
                </c:pt>
                <c:pt idx="17">
                  <c:v>3.04</c:v>
                </c:pt>
                <c:pt idx="18">
                  <c:v>3.2</c:v>
                </c:pt>
                <c:pt idx="19">
                  <c:v>3.36</c:v>
                </c:pt>
                <c:pt idx="20">
                  <c:v>3.52</c:v>
                </c:pt>
                <c:pt idx="21">
                  <c:v>3.68</c:v>
                </c:pt>
                <c:pt idx="22">
                  <c:v>3.84</c:v>
                </c:pt>
                <c:pt idx="2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B0-4CC7-9C07-78DEBC871851}"/>
            </c:ext>
          </c:extLst>
        </c:ser>
        <c:ser>
          <c:idx val="4"/>
          <c:order val="1"/>
          <c:tx>
            <c:v>中型装甲回复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脉冲甲壳!$N$28:$N$51</c:f>
              <c:numCache>
                <c:formatCode>General</c:formatCode>
                <c:ptCount val="24"/>
                <c:pt idx="0">
                  <c:v>0.96</c:v>
                </c:pt>
                <c:pt idx="1">
                  <c:v>1.44</c:v>
                </c:pt>
                <c:pt idx="2">
                  <c:v>1.92</c:v>
                </c:pt>
                <c:pt idx="3">
                  <c:v>2.4</c:v>
                </c:pt>
                <c:pt idx="4">
                  <c:v>2.88</c:v>
                </c:pt>
                <c:pt idx="5">
                  <c:v>3.36</c:v>
                </c:pt>
                <c:pt idx="6">
                  <c:v>3.84</c:v>
                </c:pt>
                <c:pt idx="7">
                  <c:v>4.32</c:v>
                </c:pt>
                <c:pt idx="8">
                  <c:v>4.8</c:v>
                </c:pt>
                <c:pt idx="9">
                  <c:v>5.28</c:v>
                </c:pt>
                <c:pt idx="10">
                  <c:v>5.76</c:v>
                </c:pt>
                <c:pt idx="11">
                  <c:v>6.24</c:v>
                </c:pt>
                <c:pt idx="12">
                  <c:v>6.72</c:v>
                </c:pt>
                <c:pt idx="13">
                  <c:v>7.2</c:v>
                </c:pt>
                <c:pt idx="14">
                  <c:v>7.68</c:v>
                </c:pt>
                <c:pt idx="15">
                  <c:v>8.16</c:v>
                </c:pt>
                <c:pt idx="16">
                  <c:v>8.64</c:v>
                </c:pt>
                <c:pt idx="17">
                  <c:v>9.1199999999999992</c:v>
                </c:pt>
                <c:pt idx="18">
                  <c:v>9.6</c:v>
                </c:pt>
                <c:pt idx="19">
                  <c:v>10.08</c:v>
                </c:pt>
                <c:pt idx="20">
                  <c:v>10.56</c:v>
                </c:pt>
                <c:pt idx="21">
                  <c:v>11.04</c:v>
                </c:pt>
                <c:pt idx="22">
                  <c:v>11.52</c:v>
                </c:pt>
                <c:pt idx="2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B0-4CC7-9C07-78DEBC871851}"/>
            </c:ext>
          </c:extLst>
        </c:ser>
        <c:ser>
          <c:idx val="5"/>
          <c:order val="2"/>
          <c:tx>
            <c:v>大型装甲回复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脉冲甲壳!$N$55:$N$78</c:f>
              <c:numCache>
                <c:formatCode>General</c:formatCode>
                <c:ptCount val="24"/>
                <c:pt idx="0">
                  <c:v>2.88</c:v>
                </c:pt>
                <c:pt idx="1">
                  <c:v>4.32</c:v>
                </c:pt>
                <c:pt idx="2">
                  <c:v>5.76</c:v>
                </c:pt>
                <c:pt idx="3">
                  <c:v>7.2</c:v>
                </c:pt>
                <c:pt idx="4">
                  <c:v>8.64</c:v>
                </c:pt>
                <c:pt idx="5">
                  <c:v>10.08</c:v>
                </c:pt>
                <c:pt idx="6">
                  <c:v>11.52</c:v>
                </c:pt>
                <c:pt idx="7">
                  <c:v>12.96</c:v>
                </c:pt>
                <c:pt idx="8">
                  <c:v>14.4</c:v>
                </c:pt>
                <c:pt idx="9">
                  <c:v>15.84</c:v>
                </c:pt>
                <c:pt idx="10">
                  <c:v>17.28</c:v>
                </c:pt>
                <c:pt idx="11">
                  <c:v>18.72</c:v>
                </c:pt>
                <c:pt idx="12">
                  <c:v>20.16</c:v>
                </c:pt>
                <c:pt idx="13">
                  <c:v>21.6</c:v>
                </c:pt>
                <c:pt idx="14">
                  <c:v>23.04</c:v>
                </c:pt>
                <c:pt idx="15">
                  <c:v>24.48</c:v>
                </c:pt>
                <c:pt idx="16">
                  <c:v>25.92</c:v>
                </c:pt>
                <c:pt idx="17">
                  <c:v>27.36</c:v>
                </c:pt>
                <c:pt idx="18">
                  <c:v>28.8</c:v>
                </c:pt>
                <c:pt idx="19">
                  <c:v>30.24</c:v>
                </c:pt>
                <c:pt idx="20">
                  <c:v>31.68</c:v>
                </c:pt>
                <c:pt idx="21">
                  <c:v>33.119999999999997</c:v>
                </c:pt>
                <c:pt idx="22">
                  <c:v>34.56</c:v>
                </c:pt>
                <c:pt idx="2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B0-4CC7-9C07-78DEBC871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3165216"/>
        <c:axId val="413170976"/>
      </c:barChart>
      <c:catAx>
        <c:axId val="4131652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3170976"/>
        <c:crosses val="autoZero"/>
        <c:auto val="1"/>
        <c:lblAlgn val="ctr"/>
        <c:lblOffset val="100"/>
        <c:noMultiLvlLbl val="0"/>
      </c:catAx>
      <c:valAx>
        <c:axId val="41317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316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装甲承受值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小型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龙鳞甲!$E$2:$E$25</c:f>
              <c:numCache>
                <c:formatCode>General</c:formatCode>
                <c:ptCount val="24"/>
                <c:pt idx="0">
                  <c:v>650</c:v>
                </c:pt>
                <c:pt idx="1">
                  <c:v>975</c:v>
                </c:pt>
                <c:pt idx="2">
                  <c:v>1300</c:v>
                </c:pt>
                <c:pt idx="3">
                  <c:v>1625</c:v>
                </c:pt>
                <c:pt idx="4">
                  <c:v>1950</c:v>
                </c:pt>
                <c:pt idx="5">
                  <c:v>2275</c:v>
                </c:pt>
                <c:pt idx="6">
                  <c:v>2600</c:v>
                </c:pt>
                <c:pt idx="7">
                  <c:v>2925</c:v>
                </c:pt>
                <c:pt idx="8">
                  <c:v>3250</c:v>
                </c:pt>
                <c:pt idx="9">
                  <c:v>3575</c:v>
                </c:pt>
                <c:pt idx="10">
                  <c:v>3900</c:v>
                </c:pt>
                <c:pt idx="11">
                  <c:v>4225</c:v>
                </c:pt>
                <c:pt idx="12">
                  <c:v>4550</c:v>
                </c:pt>
                <c:pt idx="13">
                  <c:v>4875</c:v>
                </c:pt>
                <c:pt idx="14">
                  <c:v>5200</c:v>
                </c:pt>
                <c:pt idx="15">
                  <c:v>5525</c:v>
                </c:pt>
                <c:pt idx="16">
                  <c:v>5850</c:v>
                </c:pt>
                <c:pt idx="17">
                  <c:v>6175</c:v>
                </c:pt>
                <c:pt idx="18">
                  <c:v>6500</c:v>
                </c:pt>
                <c:pt idx="19">
                  <c:v>6825</c:v>
                </c:pt>
                <c:pt idx="20">
                  <c:v>7150</c:v>
                </c:pt>
                <c:pt idx="21">
                  <c:v>7475</c:v>
                </c:pt>
                <c:pt idx="22">
                  <c:v>7800</c:v>
                </c:pt>
                <c:pt idx="23">
                  <c:v>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C-48DA-B7D4-4A4BD4883121}"/>
            </c:ext>
          </c:extLst>
        </c:ser>
        <c:ser>
          <c:idx val="1"/>
          <c:order val="1"/>
          <c:tx>
            <c:v>中型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龙鳞甲!$E$28:$E$51</c:f>
              <c:numCache>
                <c:formatCode>General</c:formatCode>
                <c:ptCount val="24"/>
                <c:pt idx="0">
                  <c:v>1950</c:v>
                </c:pt>
                <c:pt idx="1">
                  <c:v>2925</c:v>
                </c:pt>
                <c:pt idx="2">
                  <c:v>3900</c:v>
                </c:pt>
                <c:pt idx="3">
                  <c:v>4875</c:v>
                </c:pt>
                <c:pt idx="4">
                  <c:v>5850</c:v>
                </c:pt>
                <c:pt idx="5">
                  <c:v>6825</c:v>
                </c:pt>
                <c:pt idx="6">
                  <c:v>7800</c:v>
                </c:pt>
                <c:pt idx="7">
                  <c:v>8775</c:v>
                </c:pt>
                <c:pt idx="8">
                  <c:v>9750</c:v>
                </c:pt>
                <c:pt idx="9">
                  <c:v>10725</c:v>
                </c:pt>
                <c:pt idx="10">
                  <c:v>11700</c:v>
                </c:pt>
                <c:pt idx="11">
                  <c:v>12675</c:v>
                </c:pt>
                <c:pt idx="12">
                  <c:v>13650</c:v>
                </c:pt>
                <c:pt idx="13">
                  <c:v>14625</c:v>
                </c:pt>
                <c:pt idx="14">
                  <c:v>15600</c:v>
                </c:pt>
                <c:pt idx="15">
                  <c:v>16575</c:v>
                </c:pt>
                <c:pt idx="16">
                  <c:v>17550</c:v>
                </c:pt>
                <c:pt idx="17">
                  <c:v>18525</c:v>
                </c:pt>
                <c:pt idx="18">
                  <c:v>19500</c:v>
                </c:pt>
                <c:pt idx="19">
                  <c:v>20475</c:v>
                </c:pt>
                <c:pt idx="20">
                  <c:v>21450</c:v>
                </c:pt>
                <c:pt idx="21">
                  <c:v>22425</c:v>
                </c:pt>
                <c:pt idx="22">
                  <c:v>23400</c:v>
                </c:pt>
                <c:pt idx="23">
                  <c:v>24375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BC-48DA-B7D4-4A4BD4883121}"/>
            </c:ext>
          </c:extLst>
        </c:ser>
        <c:ser>
          <c:idx val="2"/>
          <c:order val="2"/>
          <c:tx>
            <c:v>大型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龙鳞甲!$Q$2:$Q$25</c:f>
              <c:numCache>
                <c:formatCode>General</c:formatCode>
                <c:ptCount val="24"/>
                <c:pt idx="0">
                  <c:v>5850</c:v>
                </c:pt>
                <c:pt idx="1">
                  <c:v>8775</c:v>
                </c:pt>
                <c:pt idx="2">
                  <c:v>11700</c:v>
                </c:pt>
                <c:pt idx="3">
                  <c:v>14625</c:v>
                </c:pt>
                <c:pt idx="4">
                  <c:v>17550</c:v>
                </c:pt>
                <c:pt idx="5">
                  <c:v>20475</c:v>
                </c:pt>
                <c:pt idx="6">
                  <c:v>23400</c:v>
                </c:pt>
                <c:pt idx="7">
                  <c:v>26325</c:v>
                </c:pt>
                <c:pt idx="8">
                  <c:v>29250</c:v>
                </c:pt>
                <c:pt idx="9">
                  <c:v>32175</c:v>
                </c:pt>
                <c:pt idx="10">
                  <c:v>35100</c:v>
                </c:pt>
                <c:pt idx="11">
                  <c:v>38025</c:v>
                </c:pt>
                <c:pt idx="12">
                  <c:v>40950</c:v>
                </c:pt>
                <c:pt idx="13">
                  <c:v>43875</c:v>
                </c:pt>
                <c:pt idx="14">
                  <c:v>46800</c:v>
                </c:pt>
                <c:pt idx="15">
                  <c:v>49725</c:v>
                </c:pt>
                <c:pt idx="16">
                  <c:v>52650</c:v>
                </c:pt>
                <c:pt idx="17">
                  <c:v>55575</c:v>
                </c:pt>
                <c:pt idx="18">
                  <c:v>58500</c:v>
                </c:pt>
                <c:pt idx="19">
                  <c:v>61425</c:v>
                </c:pt>
                <c:pt idx="20">
                  <c:v>64350</c:v>
                </c:pt>
                <c:pt idx="21">
                  <c:v>67275</c:v>
                </c:pt>
                <c:pt idx="22">
                  <c:v>70200</c:v>
                </c:pt>
                <c:pt idx="23">
                  <c:v>73125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BC-48DA-B7D4-4A4BD4883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9498336"/>
        <c:axId val="1439503616"/>
      </c:barChart>
      <c:catAx>
        <c:axId val="1439498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9503616"/>
        <c:crosses val="autoZero"/>
        <c:auto val="1"/>
        <c:lblAlgn val="ctr"/>
        <c:lblOffset val="100"/>
        <c:noMultiLvlLbl val="0"/>
      </c:catAx>
      <c:valAx>
        <c:axId val="143950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949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装甲合金花费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小型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龙鳞甲!$G$2:$G$25</c:f>
              <c:numCache>
                <c:formatCode>General</c:formatCode>
                <c:ptCount val="24"/>
                <c:pt idx="0">
                  <c:v>66</c:v>
                </c:pt>
                <c:pt idx="1">
                  <c:v>99</c:v>
                </c:pt>
                <c:pt idx="2">
                  <c:v>132</c:v>
                </c:pt>
                <c:pt idx="3">
                  <c:v>164</c:v>
                </c:pt>
                <c:pt idx="4">
                  <c:v>197</c:v>
                </c:pt>
                <c:pt idx="5">
                  <c:v>230</c:v>
                </c:pt>
                <c:pt idx="6">
                  <c:v>263</c:v>
                </c:pt>
                <c:pt idx="7">
                  <c:v>296</c:v>
                </c:pt>
                <c:pt idx="8">
                  <c:v>328</c:v>
                </c:pt>
                <c:pt idx="9">
                  <c:v>361</c:v>
                </c:pt>
                <c:pt idx="10">
                  <c:v>394</c:v>
                </c:pt>
                <c:pt idx="11">
                  <c:v>427</c:v>
                </c:pt>
                <c:pt idx="12">
                  <c:v>460</c:v>
                </c:pt>
                <c:pt idx="13">
                  <c:v>492</c:v>
                </c:pt>
                <c:pt idx="14">
                  <c:v>525</c:v>
                </c:pt>
                <c:pt idx="15">
                  <c:v>558</c:v>
                </c:pt>
                <c:pt idx="16">
                  <c:v>591</c:v>
                </c:pt>
                <c:pt idx="17">
                  <c:v>624</c:v>
                </c:pt>
                <c:pt idx="18">
                  <c:v>656</c:v>
                </c:pt>
                <c:pt idx="19">
                  <c:v>689</c:v>
                </c:pt>
                <c:pt idx="20">
                  <c:v>722</c:v>
                </c:pt>
                <c:pt idx="21">
                  <c:v>755</c:v>
                </c:pt>
                <c:pt idx="22">
                  <c:v>788</c:v>
                </c:pt>
                <c:pt idx="23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8-412F-ADA7-CA57EC5F93B2}"/>
            </c:ext>
          </c:extLst>
        </c:ser>
        <c:ser>
          <c:idx val="1"/>
          <c:order val="1"/>
          <c:tx>
            <c:v>中型</c:v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龙鳞甲!$G$28:$G$51</c:f>
              <c:numCache>
                <c:formatCode>General</c:formatCode>
                <c:ptCount val="24"/>
                <c:pt idx="0">
                  <c:v>165</c:v>
                </c:pt>
                <c:pt idx="1">
                  <c:v>248</c:v>
                </c:pt>
                <c:pt idx="2">
                  <c:v>330</c:v>
                </c:pt>
                <c:pt idx="3">
                  <c:v>412</c:v>
                </c:pt>
                <c:pt idx="4">
                  <c:v>495</c:v>
                </c:pt>
                <c:pt idx="5">
                  <c:v>577</c:v>
                </c:pt>
                <c:pt idx="6">
                  <c:v>660</c:v>
                </c:pt>
                <c:pt idx="7">
                  <c:v>742</c:v>
                </c:pt>
                <c:pt idx="8">
                  <c:v>824</c:v>
                </c:pt>
                <c:pt idx="9">
                  <c:v>907</c:v>
                </c:pt>
                <c:pt idx="10">
                  <c:v>989</c:v>
                </c:pt>
                <c:pt idx="11">
                  <c:v>1072</c:v>
                </c:pt>
                <c:pt idx="12">
                  <c:v>1154</c:v>
                </c:pt>
                <c:pt idx="13">
                  <c:v>1236</c:v>
                </c:pt>
                <c:pt idx="14">
                  <c:v>1319</c:v>
                </c:pt>
                <c:pt idx="15">
                  <c:v>1401</c:v>
                </c:pt>
                <c:pt idx="16">
                  <c:v>1484</c:v>
                </c:pt>
                <c:pt idx="17">
                  <c:v>1566</c:v>
                </c:pt>
                <c:pt idx="18">
                  <c:v>1648</c:v>
                </c:pt>
                <c:pt idx="19">
                  <c:v>1731</c:v>
                </c:pt>
                <c:pt idx="20">
                  <c:v>1813</c:v>
                </c:pt>
                <c:pt idx="21">
                  <c:v>1896</c:v>
                </c:pt>
                <c:pt idx="22">
                  <c:v>1978</c:v>
                </c:pt>
                <c:pt idx="23">
                  <c:v>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8-412F-ADA7-CA57EC5F93B2}"/>
            </c:ext>
          </c:extLst>
        </c:ser>
        <c:ser>
          <c:idx val="2"/>
          <c:order val="2"/>
          <c:tx>
            <c:v>大型</c:v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龙鳞甲!$S$2:$S$25</c:f>
              <c:numCache>
                <c:formatCode>General</c:formatCode>
                <c:ptCount val="24"/>
                <c:pt idx="0">
                  <c:v>413</c:v>
                </c:pt>
                <c:pt idx="1">
                  <c:v>620</c:v>
                </c:pt>
                <c:pt idx="2">
                  <c:v>826</c:v>
                </c:pt>
                <c:pt idx="3">
                  <c:v>1032</c:v>
                </c:pt>
                <c:pt idx="4">
                  <c:v>1239</c:v>
                </c:pt>
                <c:pt idx="5">
                  <c:v>1445</c:v>
                </c:pt>
                <c:pt idx="6">
                  <c:v>1652</c:v>
                </c:pt>
                <c:pt idx="7">
                  <c:v>1858</c:v>
                </c:pt>
                <c:pt idx="8">
                  <c:v>2064</c:v>
                </c:pt>
                <c:pt idx="9">
                  <c:v>2271</c:v>
                </c:pt>
                <c:pt idx="10">
                  <c:v>2477</c:v>
                </c:pt>
                <c:pt idx="11">
                  <c:v>2684</c:v>
                </c:pt>
                <c:pt idx="12">
                  <c:v>2890</c:v>
                </c:pt>
                <c:pt idx="13">
                  <c:v>3096</c:v>
                </c:pt>
                <c:pt idx="14">
                  <c:v>3303</c:v>
                </c:pt>
                <c:pt idx="15">
                  <c:v>3509</c:v>
                </c:pt>
                <c:pt idx="16">
                  <c:v>3716</c:v>
                </c:pt>
                <c:pt idx="17">
                  <c:v>3922</c:v>
                </c:pt>
                <c:pt idx="18">
                  <c:v>4128</c:v>
                </c:pt>
                <c:pt idx="19">
                  <c:v>4335</c:v>
                </c:pt>
                <c:pt idx="20">
                  <c:v>4541</c:v>
                </c:pt>
                <c:pt idx="21">
                  <c:v>4748</c:v>
                </c:pt>
                <c:pt idx="22">
                  <c:v>4954</c:v>
                </c:pt>
                <c:pt idx="23">
                  <c:v>5160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8-412F-ADA7-CA57EC5F9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1178896"/>
        <c:axId val="1381182256"/>
      </c:barChart>
      <c:catAx>
        <c:axId val="1381178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1182256"/>
        <c:crosses val="autoZero"/>
        <c:auto val="1"/>
        <c:lblAlgn val="ctr"/>
        <c:lblOffset val="100"/>
        <c:noMultiLvlLbl val="0"/>
      </c:catAx>
      <c:valAx>
        <c:axId val="138118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117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尺寸装甲值比例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79-4E44-B4F2-24A66647C48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79-4E44-B4F2-24A66647C483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79-4E44-B4F2-24A66647C4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首页!$A$24:$A$26</c:f>
              <c:strCache>
                <c:ptCount val="3"/>
                <c:pt idx="0">
                  <c:v>小型龙鳞甲</c:v>
                </c:pt>
                <c:pt idx="1">
                  <c:v>中型龙鳞甲</c:v>
                </c:pt>
                <c:pt idx="2">
                  <c:v>大型龙鳞甲</c:v>
                </c:pt>
              </c:strCache>
            </c:strRef>
          </c:cat>
          <c:val>
            <c:numRef>
              <c:f>首页!$B$24:$B$26</c:f>
              <c:numCache>
                <c:formatCode>General</c:formatCode>
                <c:ptCount val="3"/>
                <c:pt idx="0">
                  <c:v>325</c:v>
                </c:pt>
                <c:pt idx="1">
                  <c:v>975</c:v>
                </c:pt>
                <c:pt idx="2">
                  <c:v>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79-4E44-B4F2-24A66647C48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小型龙鳞甲壳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船体</c:v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龙鳞甲壳!$A$2:$A$25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龙鳞甲壳!$I$2:$I$25</c:f>
              <c:numCache>
                <c:formatCode>General</c:formatCode>
                <c:ptCount val="24"/>
                <c:pt idx="0">
                  <c:v>52</c:v>
                </c:pt>
                <c:pt idx="1">
                  <c:v>78</c:v>
                </c:pt>
                <c:pt idx="2">
                  <c:v>104</c:v>
                </c:pt>
                <c:pt idx="3">
                  <c:v>130</c:v>
                </c:pt>
                <c:pt idx="4">
                  <c:v>156</c:v>
                </c:pt>
                <c:pt idx="5">
                  <c:v>182</c:v>
                </c:pt>
                <c:pt idx="6">
                  <c:v>208</c:v>
                </c:pt>
                <c:pt idx="7">
                  <c:v>234</c:v>
                </c:pt>
                <c:pt idx="8">
                  <c:v>260</c:v>
                </c:pt>
                <c:pt idx="9">
                  <c:v>286</c:v>
                </c:pt>
                <c:pt idx="10">
                  <c:v>312</c:v>
                </c:pt>
                <c:pt idx="11">
                  <c:v>338</c:v>
                </c:pt>
                <c:pt idx="12">
                  <c:v>364</c:v>
                </c:pt>
                <c:pt idx="13">
                  <c:v>390</c:v>
                </c:pt>
                <c:pt idx="14">
                  <c:v>416</c:v>
                </c:pt>
                <c:pt idx="15">
                  <c:v>442</c:v>
                </c:pt>
                <c:pt idx="16">
                  <c:v>468</c:v>
                </c:pt>
                <c:pt idx="17">
                  <c:v>494</c:v>
                </c:pt>
                <c:pt idx="18">
                  <c:v>520</c:v>
                </c:pt>
                <c:pt idx="19">
                  <c:v>546</c:v>
                </c:pt>
                <c:pt idx="20">
                  <c:v>572</c:v>
                </c:pt>
                <c:pt idx="21">
                  <c:v>598</c:v>
                </c:pt>
                <c:pt idx="22">
                  <c:v>624</c:v>
                </c:pt>
                <c:pt idx="23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8-40DF-9366-D229EBA1D5BE}"/>
            </c:ext>
          </c:extLst>
        </c:ser>
        <c:ser>
          <c:idx val="0"/>
          <c:order val="1"/>
          <c:tx>
            <c:v>装甲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龙鳞甲壳!$A$2:$A$25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龙鳞甲壳!$E$2:$E$25</c:f>
              <c:numCache>
                <c:formatCode>General</c:formatCode>
                <c:ptCount val="24"/>
                <c:pt idx="0">
                  <c:v>520</c:v>
                </c:pt>
                <c:pt idx="1">
                  <c:v>780</c:v>
                </c:pt>
                <c:pt idx="2">
                  <c:v>1040</c:v>
                </c:pt>
                <c:pt idx="3">
                  <c:v>1300</c:v>
                </c:pt>
                <c:pt idx="4">
                  <c:v>1560</c:v>
                </c:pt>
                <c:pt idx="5">
                  <c:v>1820</c:v>
                </c:pt>
                <c:pt idx="6">
                  <c:v>2080</c:v>
                </c:pt>
                <c:pt idx="7">
                  <c:v>2340</c:v>
                </c:pt>
                <c:pt idx="8">
                  <c:v>2600</c:v>
                </c:pt>
                <c:pt idx="9">
                  <c:v>2860</c:v>
                </c:pt>
                <c:pt idx="10">
                  <c:v>3120</c:v>
                </c:pt>
                <c:pt idx="11">
                  <c:v>3380</c:v>
                </c:pt>
                <c:pt idx="12">
                  <c:v>3640</c:v>
                </c:pt>
                <c:pt idx="13">
                  <c:v>3900</c:v>
                </c:pt>
                <c:pt idx="14">
                  <c:v>4160</c:v>
                </c:pt>
                <c:pt idx="15">
                  <c:v>4420</c:v>
                </c:pt>
                <c:pt idx="16">
                  <c:v>4680</c:v>
                </c:pt>
                <c:pt idx="17">
                  <c:v>4940</c:v>
                </c:pt>
                <c:pt idx="18">
                  <c:v>5200</c:v>
                </c:pt>
                <c:pt idx="19">
                  <c:v>5460</c:v>
                </c:pt>
                <c:pt idx="20">
                  <c:v>5720</c:v>
                </c:pt>
                <c:pt idx="21">
                  <c:v>5980</c:v>
                </c:pt>
                <c:pt idx="22">
                  <c:v>6240</c:v>
                </c:pt>
                <c:pt idx="23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8-40DF-9366-D229EBA1D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438464"/>
        <c:axId val="1566439424"/>
      </c:barChart>
      <c:catAx>
        <c:axId val="15664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6439424"/>
        <c:crosses val="autoZero"/>
        <c:auto val="1"/>
        <c:lblAlgn val="ctr"/>
        <c:lblOffset val="100"/>
        <c:noMultiLvlLbl val="0"/>
      </c:catAx>
      <c:valAx>
        <c:axId val="15664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643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中型龙鳞甲壳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v>船体</c:v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龙鳞甲壳!$A$2:$A$25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龙鳞甲壳!$I$28:$I$51</c:f>
              <c:numCache>
                <c:formatCode>General</c:formatCode>
                <c:ptCount val="24"/>
                <c:pt idx="0">
                  <c:v>156</c:v>
                </c:pt>
                <c:pt idx="1">
                  <c:v>234</c:v>
                </c:pt>
                <c:pt idx="2">
                  <c:v>312</c:v>
                </c:pt>
                <c:pt idx="3">
                  <c:v>390</c:v>
                </c:pt>
                <c:pt idx="4">
                  <c:v>468</c:v>
                </c:pt>
                <c:pt idx="5">
                  <c:v>546</c:v>
                </c:pt>
                <c:pt idx="6">
                  <c:v>624</c:v>
                </c:pt>
                <c:pt idx="7">
                  <c:v>702</c:v>
                </c:pt>
                <c:pt idx="8">
                  <c:v>780</c:v>
                </c:pt>
                <c:pt idx="9">
                  <c:v>858</c:v>
                </c:pt>
                <c:pt idx="10">
                  <c:v>936</c:v>
                </c:pt>
                <c:pt idx="11">
                  <c:v>1014</c:v>
                </c:pt>
                <c:pt idx="12">
                  <c:v>1092</c:v>
                </c:pt>
                <c:pt idx="13">
                  <c:v>1170</c:v>
                </c:pt>
                <c:pt idx="14">
                  <c:v>1248</c:v>
                </c:pt>
                <c:pt idx="15">
                  <c:v>1326</c:v>
                </c:pt>
                <c:pt idx="16">
                  <c:v>1404</c:v>
                </c:pt>
                <c:pt idx="17">
                  <c:v>1482</c:v>
                </c:pt>
                <c:pt idx="18">
                  <c:v>1560</c:v>
                </c:pt>
                <c:pt idx="19">
                  <c:v>1638</c:v>
                </c:pt>
                <c:pt idx="20">
                  <c:v>1716</c:v>
                </c:pt>
                <c:pt idx="21">
                  <c:v>1794</c:v>
                </c:pt>
                <c:pt idx="22">
                  <c:v>1872</c:v>
                </c:pt>
                <c:pt idx="23">
                  <c:v>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2-4385-B72A-886635027724}"/>
            </c:ext>
          </c:extLst>
        </c:ser>
        <c:ser>
          <c:idx val="2"/>
          <c:order val="1"/>
          <c:tx>
            <c:v>装甲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龙鳞甲壳!$A$2:$A$25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龙鳞甲壳!$E$28:$E$51</c:f>
              <c:numCache>
                <c:formatCode>General</c:formatCode>
                <c:ptCount val="24"/>
                <c:pt idx="0">
                  <c:v>1560</c:v>
                </c:pt>
                <c:pt idx="1">
                  <c:v>2340</c:v>
                </c:pt>
                <c:pt idx="2">
                  <c:v>3120</c:v>
                </c:pt>
                <c:pt idx="3">
                  <c:v>3900</c:v>
                </c:pt>
                <c:pt idx="4">
                  <c:v>4680</c:v>
                </c:pt>
                <c:pt idx="5">
                  <c:v>5460</c:v>
                </c:pt>
                <c:pt idx="6">
                  <c:v>6240</c:v>
                </c:pt>
                <c:pt idx="7">
                  <c:v>7020</c:v>
                </c:pt>
                <c:pt idx="8">
                  <c:v>7800</c:v>
                </c:pt>
                <c:pt idx="9">
                  <c:v>8580</c:v>
                </c:pt>
                <c:pt idx="10">
                  <c:v>9360</c:v>
                </c:pt>
                <c:pt idx="11">
                  <c:v>10140</c:v>
                </c:pt>
                <c:pt idx="12">
                  <c:v>10920</c:v>
                </c:pt>
                <c:pt idx="13">
                  <c:v>11700</c:v>
                </c:pt>
                <c:pt idx="14">
                  <c:v>12480</c:v>
                </c:pt>
                <c:pt idx="15">
                  <c:v>13260</c:v>
                </c:pt>
                <c:pt idx="16">
                  <c:v>14040</c:v>
                </c:pt>
                <c:pt idx="17">
                  <c:v>14820</c:v>
                </c:pt>
                <c:pt idx="18">
                  <c:v>15600</c:v>
                </c:pt>
                <c:pt idx="19">
                  <c:v>16380</c:v>
                </c:pt>
                <c:pt idx="20">
                  <c:v>17160</c:v>
                </c:pt>
                <c:pt idx="21">
                  <c:v>17940</c:v>
                </c:pt>
                <c:pt idx="22">
                  <c:v>18720</c:v>
                </c:pt>
                <c:pt idx="23">
                  <c:v>19500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2-4385-B72A-88663502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438464"/>
        <c:axId val="1566439424"/>
      </c:barChart>
      <c:catAx>
        <c:axId val="15664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6439424"/>
        <c:crosses val="autoZero"/>
        <c:auto val="1"/>
        <c:lblAlgn val="ctr"/>
        <c:lblOffset val="100"/>
        <c:noMultiLvlLbl val="0"/>
      </c:catAx>
      <c:valAx>
        <c:axId val="15664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643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大型龙鳞甲壳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v>船体</c:v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龙鳞甲壳!$A$2:$A$25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龙鳞甲壳!$I$54:$I$77</c:f>
              <c:numCache>
                <c:formatCode>General</c:formatCode>
                <c:ptCount val="24"/>
                <c:pt idx="0">
                  <c:v>468</c:v>
                </c:pt>
                <c:pt idx="1">
                  <c:v>702</c:v>
                </c:pt>
                <c:pt idx="2">
                  <c:v>936</c:v>
                </c:pt>
                <c:pt idx="3">
                  <c:v>1170</c:v>
                </c:pt>
                <c:pt idx="4">
                  <c:v>1404</c:v>
                </c:pt>
                <c:pt idx="5">
                  <c:v>1638</c:v>
                </c:pt>
                <c:pt idx="6">
                  <c:v>1872</c:v>
                </c:pt>
                <c:pt idx="7">
                  <c:v>2106</c:v>
                </c:pt>
                <c:pt idx="8">
                  <c:v>2340</c:v>
                </c:pt>
                <c:pt idx="9">
                  <c:v>2574</c:v>
                </c:pt>
                <c:pt idx="10">
                  <c:v>2808</c:v>
                </c:pt>
                <c:pt idx="11">
                  <c:v>3042</c:v>
                </c:pt>
                <c:pt idx="12">
                  <c:v>3276</c:v>
                </c:pt>
                <c:pt idx="13">
                  <c:v>3510</c:v>
                </c:pt>
                <c:pt idx="14">
                  <c:v>3744</c:v>
                </c:pt>
                <c:pt idx="15">
                  <c:v>3978</c:v>
                </c:pt>
                <c:pt idx="16">
                  <c:v>4212</c:v>
                </c:pt>
                <c:pt idx="17">
                  <c:v>4446</c:v>
                </c:pt>
                <c:pt idx="18">
                  <c:v>4680</c:v>
                </c:pt>
                <c:pt idx="19">
                  <c:v>4914</c:v>
                </c:pt>
                <c:pt idx="20">
                  <c:v>5148</c:v>
                </c:pt>
                <c:pt idx="21">
                  <c:v>5382</c:v>
                </c:pt>
                <c:pt idx="22">
                  <c:v>5616</c:v>
                </c:pt>
                <c:pt idx="23">
                  <c:v>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3-49F3-8CB0-69964F9172AE}"/>
            </c:ext>
          </c:extLst>
        </c:ser>
        <c:ser>
          <c:idx val="4"/>
          <c:order val="1"/>
          <c:tx>
            <c:v>装甲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龙鳞甲壳!$A$2:$A$25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</c:numCache>
            </c:numRef>
          </c:cat>
          <c:val>
            <c:numRef>
              <c:f>龙鳞甲壳!$E$54:$E$77</c:f>
              <c:numCache>
                <c:formatCode>General</c:formatCode>
                <c:ptCount val="24"/>
                <c:pt idx="0">
                  <c:v>4680</c:v>
                </c:pt>
                <c:pt idx="1">
                  <c:v>7020</c:v>
                </c:pt>
                <c:pt idx="2">
                  <c:v>9360</c:v>
                </c:pt>
                <c:pt idx="3">
                  <c:v>11700</c:v>
                </c:pt>
                <c:pt idx="4">
                  <c:v>14040</c:v>
                </c:pt>
                <c:pt idx="5">
                  <c:v>16380</c:v>
                </c:pt>
                <c:pt idx="6">
                  <c:v>18720</c:v>
                </c:pt>
                <c:pt idx="7">
                  <c:v>21060</c:v>
                </c:pt>
                <c:pt idx="8">
                  <c:v>23400</c:v>
                </c:pt>
                <c:pt idx="9">
                  <c:v>25740</c:v>
                </c:pt>
                <c:pt idx="10">
                  <c:v>28080</c:v>
                </c:pt>
                <c:pt idx="11">
                  <c:v>30420</c:v>
                </c:pt>
                <c:pt idx="12">
                  <c:v>32760</c:v>
                </c:pt>
                <c:pt idx="13">
                  <c:v>35100</c:v>
                </c:pt>
                <c:pt idx="14">
                  <c:v>37440</c:v>
                </c:pt>
                <c:pt idx="15">
                  <c:v>39780</c:v>
                </c:pt>
                <c:pt idx="16">
                  <c:v>42120</c:v>
                </c:pt>
                <c:pt idx="17">
                  <c:v>44460</c:v>
                </c:pt>
                <c:pt idx="18">
                  <c:v>46800</c:v>
                </c:pt>
                <c:pt idx="19">
                  <c:v>49140</c:v>
                </c:pt>
                <c:pt idx="20">
                  <c:v>51480</c:v>
                </c:pt>
                <c:pt idx="21">
                  <c:v>53820</c:v>
                </c:pt>
                <c:pt idx="22">
                  <c:v>56160</c:v>
                </c:pt>
                <c:pt idx="23">
                  <c:v>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D3-49F3-8CB0-69964F917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438464"/>
        <c:axId val="1566439424"/>
      </c:barChart>
      <c:catAx>
        <c:axId val="15664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6439424"/>
        <c:crosses val="autoZero"/>
        <c:auto val="1"/>
        <c:lblAlgn val="ctr"/>
        <c:lblOffset val="100"/>
        <c:noMultiLvlLbl val="0"/>
      </c:catAx>
      <c:valAx>
        <c:axId val="156643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6643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尺寸装甲值比例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38-4F92-A300-0F8F5F5AB91A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38-4F92-A300-0F8F5F5AB91A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38-4F92-A300-0F8F5F5AB9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首页!$A$31:$A$33</c:f>
              <c:strCache>
                <c:ptCount val="3"/>
                <c:pt idx="0">
                  <c:v>小型龙鳞甲壳</c:v>
                </c:pt>
                <c:pt idx="1">
                  <c:v>中型龙鳞甲壳</c:v>
                </c:pt>
                <c:pt idx="2">
                  <c:v>大型龙鳞甲壳</c:v>
                </c:pt>
              </c:strCache>
            </c:strRef>
          </c:cat>
          <c:val>
            <c:numRef>
              <c:f>首页!$B$31:$B$33</c:f>
              <c:numCache>
                <c:formatCode>General</c:formatCode>
                <c:ptCount val="3"/>
                <c:pt idx="0">
                  <c:v>260</c:v>
                </c:pt>
                <c:pt idx="1">
                  <c:v>780</c:v>
                </c:pt>
                <c:pt idx="2">
                  <c:v>2340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38-4F92-A300-0F8F5F5AB91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装甲回复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小型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龙鳞甲壳!$K$2:$K$25</c:f>
              <c:numCache>
                <c:formatCode>General</c:formatCode>
                <c:ptCount val="24"/>
                <c:pt idx="0">
                  <c:v>41</c:v>
                </c:pt>
                <c:pt idx="1">
                  <c:v>62</c:v>
                </c:pt>
                <c:pt idx="2">
                  <c:v>82</c:v>
                </c:pt>
                <c:pt idx="3">
                  <c:v>103</c:v>
                </c:pt>
                <c:pt idx="4">
                  <c:v>123</c:v>
                </c:pt>
                <c:pt idx="5">
                  <c:v>144</c:v>
                </c:pt>
                <c:pt idx="6">
                  <c:v>164</c:v>
                </c:pt>
                <c:pt idx="7">
                  <c:v>185</c:v>
                </c:pt>
                <c:pt idx="8">
                  <c:v>205</c:v>
                </c:pt>
                <c:pt idx="9">
                  <c:v>226</c:v>
                </c:pt>
                <c:pt idx="10">
                  <c:v>246</c:v>
                </c:pt>
                <c:pt idx="11">
                  <c:v>267</c:v>
                </c:pt>
                <c:pt idx="12">
                  <c:v>287</c:v>
                </c:pt>
                <c:pt idx="13">
                  <c:v>308</c:v>
                </c:pt>
                <c:pt idx="14">
                  <c:v>328</c:v>
                </c:pt>
                <c:pt idx="15">
                  <c:v>349</c:v>
                </c:pt>
                <c:pt idx="16">
                  <c:v>369</c:v>
                </c:pt>
                <c:pt idx="17">
                  <c:v>390</c:v>
                </c:pt>
                <c:pt idx="18">
                  <c:v>410</c:v>
                </c:pt>
                <c:pt idx="19">
                  <c:v>431</c:v>
                </c:pt>
                <c:pt idx="20">
                  <c:v>451</c:v>
                </c:pt>
                <c:pt idx="21">
                  <c:v>472</c:v>
                </c:pt>
                <c:pt idx="22">
                  <c:v>492</c:v>
                </c:pt>
                <c:pt idx="23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F-4075-ADD0-E9621F53787D}"/>
            </c:ext>
          </c:extLst>
        </c:ser>
        <c:ser>
          <c:idx val="1"/>
          <c:order val="1"/>
          <c:tx>
            <c:v>中型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龙鳞甲壳!$K$28:$K$51</c:f>
              <c:numCache>
                <c:formatCode>General</c:formatCode>
                <c:ptCount val="24"/>
                <c:pt idx="0">
                  <c:v>103</c:v>
                </c:pt>
                <c:pt idx="1">
                  <c:v>155</c:v>
                </c:pt>
                <c:pt idx="2">
                  <c:v>206</c:v>
                </c:pt>
                <c:pt idx="3">
                  <c:v>258</c:v>
                </c:pt>
                <c:pt idx="4">
                  <c:v>309</c:v>
                </c:pt>
                <c:pt idx="5">
                  <c:v>361</c:v>
                </c:pt>
                <c:pt idx="6">
                  <c:v>412</c:v>
                </c:pt>
                <c:pt idx="7">
                  <c:v>464</c:v>
                </c:pt>
                <c:pt idx="8">
                  <c:v>515</c:v>
                </c:pt>
                <c:pt idx="9">
                  <c:v>567</c:v>
                </c:pt>
                <c:pt idx="10">
                  <c:v>618</c:v>
                </c:pt>
                <c:pt idx="11">
                  <c:v>670</c:v>
                </c:pt>
                <c:pt idx="12">
                  <c:v>721</c:v>
                </c:pt>
                <c:pt idx="13">
                  <c:v>773</c:v>
                </c:pt>
                <c:pt idx="14">
                  <c:v>824</c:v>
                </c:pt>
                <c:pt idx="15">
                  <c:v>876</c:v>
                </c:pt>
                <c:pt idx="16">
                  <c:v>927</c:v>
                </c:pt>
                <c:pt idx="17">
                  <c:v>979</c:v>
                </c:pt>
                <c:pt idx="18">
                  <c:v>1030</c:v>
                </c:pt>
                <c:pt idx="19">
                  <c:v>1082</c:v>
                </c:pt>
                <c:pt idx="20">
                  <c:v>1133</c:v>
                </c:pt>
                <c:pt idx="21">
                  <c:v>1185</c:v>
                </c:pt>
                <c:pt idx="22">
                  <c:v>1236</c:v>
                </c:pt>
                <c:pt idx="23">
                  <c:v>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F-4075-ADD0-E9621F53787D}"/>
            </c:ext>
          </c:extLst>
        </c:ser>
        <c:ser>
          <c:idx val="2"/>
          <c:order val="2"/>
          <c:tx>
            <c:v>大型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龙鳞甲壳!$K$54:$K$77</c:f>
              <c:numCache>
                <c:formatCode>General</c:formatCode>
                <c:ptCount val="24"/>
                <c:pt idx="0">
                  <c:v>258</c:v>
                </c:pt>
                <c:pt idx="1">
                  <c:v>387</c:v>
                </c:pt>
                <c:pt idx="2">
                  <c:v>516</c:v>
                </c:pt>
                <c:pt idx="3">
                  <c:v>645</c:v>
                </c:pt>
                <c:pt idx="4">
                  <c:v>774</c:v>
                </c:pt>
                <c:pt idx="5">
                  <c:v>903</c:v>
                </c:pt>
                <c:pt idx="6">
                  <c:v>1032</c:v>
                </c:pt>
                <c:pt idx="7">
                  <c:v>1161</c:v>
                </c:pt>
                <c:pt idx="8">
                  <c:v>1290</c:v>
                </c:pt>
                <c:pt idx="9">
                  <c:v>1419</c:v>
                </c:pt>
                <c:pt idx="10">
                  <c:v>1548</c:v>
                </c:pt>
                <c:pt idx="11">
                  <c:v>1677</c:v>
                </c:pt>
                <c:pt idx="12">
                  <c:v>1806</c:v>
                </c:pt>
                <c:pt idx="13">
                  <c:v>1935</c:v>
                </c:pt>
                <c:pt idx="14">
                  <c:v>2064</c:v>
                </c:pt>
                <c:pt idx="15">
                  <c:v>2193</c:v>
                </c:pt>
                <c:pt idx="16">
                  <c:v>2322</c:v>
                </c:pt>
                <c:pt idx="17">
                  <c:v>2451</c:v>
                </c:pt>
                <c:pt idx="18">
                  <c:v>2580</c:v>
                </c:pt>
                <c:pt idx="19">
                  <c:v>2709</c:v>
                </c:pt>
                <c:pt idx="20">
                  <c:v>2838</c:v>
                </c:pt>
                <c:pt idx="21">
                  <c:v>2967</c:v>
                </c:pt>
                <c:pt idx="22">
                  <c:v>3096</c:v>
                </c:pt>
                <c:pt idx="23">
                  <c:v>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F-4075-ADD0-E9621F537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0646640"/>
        <c:axId val="1430644720"/>
      </c:barChart>
      <c:catAx>
        <c:axId val="1430646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0644720"/>
        <c:crosses val="autoZero"/>
        <c:auto val="1"/>
        <c:lblAlgn val="ctr"/>
        <c:lblOffset val="100"/>
        <c:noMultiLvlLbl val="0"/>
      </c:catAx>
      <c:valAx>
        <c:axId val="14306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064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0</xdr:rowOff>
    </xdr:from>
    <xdr:to>
      <xdr:col>5</xdr:col>
      <xdr:colOff>774700</xdr:colOff>
      <xdr:row>73</xdr:row>
      <xdr:rowOff>114300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D5CC8BD-5782-41B2-BB81-616B92003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105</xdr:row>
      <xdr:rowOff>0</xdr:rowOff>
    </xdr:from>
    <xdr:to>
      <xdr:col>4</xdr:col>
      <xdr:colOff>1047750</xdr:colOff>
      <xdr:row>121</xdr:row>
      <xdr:rowOff>138793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ECDFB4EE-5742-45E3-854B-84234C5B0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123</xdr:row>
      <xdr:rowOff>0</xdr:rowOff>
    </xdr:from>
    <xdr:to>
      <xdr:col>4</xdr:col>
      <xdr:colOff>1252765</xdr:colOff>
      <xdr:row>138</xdr:row>
      <xdr:rowOff>21771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A7B486B9-FECB-45D5-AFAF-26FBBAEE7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1485900</xdr:colOff>
      <xdr:row>104</xdr:row>
      <xdr:rowOff>171450</xdr:rowOff>
    </xdr:from>
    <xdr:to>
      <xdr:col>8</xdr:col>
      <xdr:colOff>1193800</xdr:colOff>
      <xdr:row>121</xdr:row>
      <xdr:rowOff>152400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B199B4A4-21D1-4212-8713-105F77F71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5</xdr:col>
      <xdr:colOff>1044762</xdr:colOff>
      <xdr:row>95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30B8DF2-F9C0-42C0-9408-35B9F4C4D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80</xdr:row>
      <xdr:rowOff>0</xdr:rowOff>
    </xdr:from>
    <xdr:to>
      <xdr:col>11</xdr:col>
      <xdr:colOff>47812</xdr:colOff>
      <xdr:row>95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F2CF155-A90A-43D2-9721-F811EF64C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97</xdr:row>
      <xdr:rowOff>0</xdr:rowOff>
    </xdr:from>
    <xdr:to>
      <xdr:col>5</xdr:col>
      <xdr:colOff>1035371</xdr:colOff>
      <xdr:row>112</xdr:row>
      <xdr:rowOff>21771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6A06BA4-878D-4746-BA5C-5602258BC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97</xdr:row>
      <xdr:rowOff>0</xdr:rowOff>
    </xdr:from>
    <xdr:to>
      <xdr:col>10</xdr:col>
      <xdr:colOff>52294</xdr:colOff>
      <xdr:row>111</xdr:row>
      <xdr:rowOff>67235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45C1D5C-9880-4CE4-98C2-E841F3F6C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5</xdr:col>
      <xdr:colOff>500530</xdr:colOff>
      <xdr:row>95</xdr:row>
      <xdr:rowOff>53789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B283999-C86C-4933-BA79-BF7E2620E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948764</xdr:colOff>
      <xdr:row>80</xdr:row>
      <xdr:rowOff>0</xdr:rowOff>
    </xdr:from>
    <xdr:to>
      <xdr:col>9</xdr:col>
      <xdr:colOff>1008528</xdr:colOff>
      <xdr:row>95</xdr:row>
      <xdr:rowOff>53789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A08776D-3256-426C-AB67-E86061FA8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98</xdr:row>
      <xdr:rowOff>0</xdr:rowOff>
    </xdr:from>
    <xdr:to>
      <xdr:col>5</xdr:col>
      <xdr:colOff>500530</xdr:colOff>
      <xdr:row>113</xdr:row>
      <xdr:rowOff>53788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2D55F09-3F45-4532-ABCF-09BC9E364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81</xdr:row>
      <xdr:rowOff>0</xdr:rowOff>
    </xdr:from>
    <xdr:to>
      <xdr:col>8</xdr:col>
      <xdr:colOff>56244</xdr:colOff>
      <xdr:row>100</xdr:row>
      <xdr:rowOff>43543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36C606-EC99-4D4C-B83F-0208D6BB2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462643</xdr:colOff>
      <xdr:row>81</xdr:row>
      <xdr:rowOff>0</xdr:rowOff>
    </xdr:from>
    <xdr:to>
      <xdr:col>14</xdr:col>
      <xdr:colOff>589643</xdr:colOff>
      <xdr:row>100</xdr:row>
      <xdr:rowOff>43543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9D6F444-0C11-4366-B48F-8E8A7322D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1560287</xdr:colOff>
      <xdr:row>81</xdr:row>
      <xdr:rowOff>0</xdr:rowOff>
    </xdr:from>
    <xdr:to>
      <xdr:col>20</xdr:col>
      <xdr:colOff>1629231</xdr:colOff>
      <xdr:row>100</xdr:row>
      <xdr:rowOff>43543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501B8EE-2D93-476F-9B1E-08CC05783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104</xdr:row>
      <xdr:rowOff>0</xdr:rowOff>
    </xdr:from>
    <xdr:to>
      <xdr:col>5</xdr:col>
      <xdr:colOff>843643</xdr:colOff>
      <xdr:row>119</xdr:row>
      <xdr:rowOff>21771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3BD162C-6ED1-4F04-97C2-7AAA51B6C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1206500</xdr:colOff>
      <xdr:row>104</xdr:row>
      <xdr:rowOff>0</xdr:rowOff>
    </xdr:from>
    <xdr:to>
      <xdr:col>10</xdr:col>
      <xdr:colOff>1186544</xdr:colOff>
      <xdr:row>119</xdr:row>
      <xdr:rowOff>76199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5A38874-0118-41A2-B70A-9BAC11EB8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294822</xdr:colOff>
      <xdr:row>120</xdr:row>
      <xdr:rowOff>79828</xdr:rowOff>
    </xdr:from>
    <xdr:to>
      <xdr:col>5</xdr:col>
      <xdr:colOff>1138465</xdr:colOff>
      <xdr:row>135</xdr:row>
      <xdr:rowOff>101600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557257CD-2A5E-EAC0-3A9A-7E68BD6C0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207815</xdr:colOff>
      <xdr:row>81</xdr:row>
      <xdr:rowOff>0</xdr:rowOff>
    </xdr:from>
    <xdr:to>
      <xdr:col>4</xdr:col>
      <xdr:colOff>478556</xdr:colOff>
      <xdr:row>96</xdr:row>
      <xdr:rowOff>145473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66F952D8-126A-466E-A11F-2C02142D8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484910</xdr:colOff>
      <xdr:row>81</xdr:row>
      <xdr:rowOff>0</xdr:rowOff>
    </xdr:from>
    <xdr:to>
      <xdr:col>10</xdr:col>
      <xdr:colOff>127001</xdr:colOff>
      <xdr:row>96</xdr:row>
      <xdr:rowOff>145473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4192BE1F-FADD-4874-B7FA-508633E79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484909</xdr:colOff>
      <xdr:row>81</xdr:row>
      <xdr:rowOff>0</xdr:rowOff>
    </xdr:from>
    <xdr:to>
      <xdr:col>14</xdr:col>
      <xdr:colOff>773545</xdr:colOff>
      <xdr:row>96</xdr:row>
      <xdr:rowOff>145473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F9168061-ADA8-4057-8C7A-74EA30DEA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388471</xdr:colOff>
      <xdr:row>99</xdr:row>
      <xdr:rowOff>0</xdr:rowOff>
    </xdr:from>
    <xdr:to>
      <xdr:col>5</xdr:col>
      <xdr:colOff>134471</xdr:colOff>
      <xdr:row>114</xdr:row>
      <xdr:rowOff>53788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F70DE6C1-32E9-4070-8A09-9C050F8C4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489327</xdr:colOff>
      <xdr:row>98</xdr:row>
      <xdr:rowOff>122516</xdr:rowOff>
    </xdr:from>
    <xdr:to>
      <xdr:col>10</xdr:col>
      <xdr:colOff>130738</xdr:colOff>
      <xdr:row>117</xdr:row>
      <xdr:rowOff>7469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FEC67CA4-539A-B645-96D2-894418BE1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276413</xdr:colOff>
      <xdr:row>98</xdr:row>
      <xdr:rowOff>149410</xdr:rowOff>
    </xdr:from>
    <xdr:to>
      <xdr:col>14</xdr:col>
      <xdr:colOff>567766</xdr:colOff>
      <xdr:row>117</xdr:row>
      <xdr:rowOff>34363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1D190163-2132-4369-B90D-3CF42CA3C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79</xdr:row>
      <xdr:rowOff>0</xdr:rowOff>
    </xdr:from>
    <xdr:to>
      <xdr:col>4</xdr:col>
      <xdr:colOff>387350</xdr:colOff>
      <xdr:row>94</xdr:row>
      <xdr:rowOff>76200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10444A-7CC9-410F-B5D9-84C96C8E7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79</xdr:row>
      <xdr:rowOff>0</xdr:rowOff>
    </xdr:from>
    <xdr:to>
      <xdr:col>9</xdr:col>
      <xdr:colOff>88900</xdr:colOff>
      <xdr:row>94</xdr:row>
      <xdr:rowOff>76200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2456CD1-D9D3-488A-8537-637AF506C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5</xdr:col>
      <xdr:colOff>317500</xdr:colOff>
      <xdr:row>111</xdr:row>
      <xdr:rowOff>76200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B6BE87C-B2A4-42E1-AE09-B835B202D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4</xdr:col>
      <xdr:colOff>368300</xdr:colOff>
      <xdr:row>94</xdr:row>
      <xdr:rowOff>76200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567865FC-ACA9-4C4F-9C69-20670113D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79</xdr:row>
      <xdr:rowOff>0</xdr:rowOff>
    </xdr:from>
    <xdr:to>
      <xdr:col>9</xdr:col>
      <xdr:colOff>635000</xdr:colOff>
      <xdr:row>94</xdr:row>
      <xdr:rowOff>76200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D8172D0-2932-4707-A69F-C16AB4519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799351</xdr:colOff>
      <xdr:row>79</xdr:row>
      <xdr:rowOff>0</xdr:rowOff>
    </xdr:from>
    <xdr:to>
      <xdr:col>14</xdr:col>
      <xdr:colOff>227851</xdr:colOff>
      <xdr:row>94</xdr:row>
      <xdr:rowOff>76200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99DD1B2A-2DBF-4465-8C6F-87A9CC4F0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97</xdr:row>
      <xdr:rowOff>0</xdr:rowOff>
    </xdr:from>
    <xdr:to>
      <xdr:col>4</xdr:col>
      <xdr:colOff>373530</xdr:colOff>
      <xdr:row>112</xdr:row>
      <xdr:rowOff>53788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A23EE8E-3ADE-490B-9523-17AB5522D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97</xdr:row>
      <xdr:rowOff>0</xdr:rowOff>
    </xdr:from>
    <xdr:to>
      <xdr:col>9</xdr:col>
      <xdr:colOff>635000</xdr:colOff>
      <xdr:row>112</xdr:row>
      <xdr:rowOff>53788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E7D7307B-D444-4D09-A175-F7C8080EF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3D04-EA24-4821-A3EB-463FDEC2C7E0}">
  <dimension ref="A1:N47"/>
  <sheetViews>
    <sheetView topLeftCell="E1" zoomScaleNormal="100" workbookViewId="0">
      <selection activeCell="J14" sqref="J14"/>
    </sheetView>
  </sheetViews>
  <sheetFormatPr defaultRowHeight="14" x14ac:dyDescent="0.3"/>
  <cols>
    <col min="1" max="1" width="16.5" customWidth="1"/>
    <col min="2" max="2" width="10.33203125" customWidth="1"/>
    <col min="3" max="3" width="11.83203125" customWidth="1"/>
    <col min="4" max="4" width="16.6640625" customWidth="1"/>
    <col min="5" max="5" width="16.5" customWidth="1"/>
    <col min="6" max="6" width="11.75" customWidth="1"/>
    <col min="7" max="7" width="12.25" customWidth="1"/>
    <col min="8" max="8" width="16.08203125" customWidth="1"/>
    <col min="9" max="9" width="16.9140625" customWidth="1"/>
    <col min="10" max="10" width="16.08203125" customWidth="1"/>
    <col min="11" max="11" width="10.25" customWidth="1"/>
  </cols>
  <sheetData>
    <row r="1" spans="1:14" x14ac:dyDescent="0.3">
      <c r="A1" s="56"/>
      <c r="B1" s="136" t="s">
        <v>1</v>
      </c>
      <c r="C1" s="137" t="s">
        <v>2055</v>
      </c>
      <c r="D1" s="137" t="s">
        <v>2054</v>
      </c>
      <c r="E1" s="137" t="s">
        <v>2048</v>
      </c>
      <c r="F1" s="136" t="s">
        <v>154</v>
      </c>
      <c r="G1" s="138" t="s">
        <v>1918</v>
      </c>
      <c r="H1" s="1"/>
      <c r="I1" s="38" t="s">
        <v>1945</v>
      </c>
      <c r="J1" s="139" t="s">
        <v>205</v>
      </c>
      <c r="K1" s="140" t="s">
        <v>206</v>
      </c>
      <c r="L1" s="1"/>
      <c r="M1" s="1"/>
      <c r="N1" s="1"/>
    </row>
    <row r="2" spans="1:14" x14ac:dyDescent="0.3">
      <c r="A2" s="133" t="s">
        <v>2083</v>
      </c>
      <c r="B2" s="124">
        <v>400</v>
      </c>
      <c r="C2" s="125">
        <v>2</v>
      </c>
      <c r="D2" s="125">
        <f t="shared" ref="D2:D4" si="0">B2/C2</f>
        <v>200</v>
      </c>
      <c r="E2" s="125">
        <v>80</v>
      </c>
      <c r="F2" s="124">
        <v>41</v>
      </c>
      <c r="G2" s="126">
        <v>0.11</v>
      </c>
      <c r="H2" s="1"/>
      <c r="I2" s="41" t="s">
        <v>2056</v>
      </c>
      <c r="J2" s="45">
        <v>0.114</v>
      </c>
      <c r="K2" s="46">
        <v>0.38</v>
      </c>
      <c r="L2" s="1"/>
      <c r="M2" s="1"/>
      <c r="N2" s="1"/>
    </row>
    <row r="3" spans="1:14" x14ac:dyDescent="0.3">
      <c r="A3" s="134" t="s">
        <v>2084</v>
      </c>
      <c r="B3" s="127">
        <v>1200</v>
      </c>
      <c r="C3" s="128">
        <v>6</v>
      </c>
      <c r="D3" s="128">
        <f t="shared" si="0"/>
        <v>200</v>
      </c>
      <c r="E3" s="128">
        <v>80</v>
      </c>
      <c r="F3" s="127">
        <v>103</v>
      </c>
      <c r="G3" s="129">
        <v>0.22</v>
      </c>
      <c r="H3" s="1"/>
      <c r="I3" s="44" t="s">
        <v>1947</v>
      </c>
      <c r="J3" s="45">
        <v>0.22800000000000001</v>
      </c>
      <c r="K3" s="46">
        <v>0.76</v>
      </c>
      <c r="L3" s="1"/>
      <c r="M3" s="1"/>
      <c r="N3" s="1"/>
    </row>
    <row r="4" spans="1:14" x14ac:dyDescent="0.3">
      <c r="A4" s="134" t="s">
        <v>2085</v>
      </c>
      <c r="B4" s="127">
        <v>3600</v>
      </c>
      <c r="C4" s="128">
        <v>18</v>
      </c>
      <c r="D4" s="128">
        <f t="shared" si="0"/>
        <v>200</v>
      </c>
      <c r="E4" s="128">
        <v>80</v>
      </c>
      <c r="F4" s="127">
        <v>258</v>
      </c>
      <c r="G4" s="129">
        <v>0.33300000000000002</v>
      </c>
      <c r="H4" s="1"/>
      <c r="I4" s="50" t="s">
        <v>1948</v>
      </c>
      <c r="J4" s="51">
        <v>0.45600000000000002</v>
      </c>
      <c r="K4" s="52">
        <v>1.52</v>
      </c>
      <c r="L4" s="1"/>
      <c r="M4" s="1"/>
      <c r="N4" s="1"/>
    </row>
    <row r="5" spans="1:14" x14ac:dyDescent="0.3">
      <c r="A5" s="134" t="s">
        <v>2086</v>
      </c>
      <c r="B5" s="127">
        <v>320</v>
      </c>
      <c r="C5" s="128">
        <v>4</v>
      </c>
      <c r="D5" s="128">
        <f t="shared" ref="D5:D6" si="1">B5/C5</f>
        <v>80</v>
      </c>
      <c r="E5" s="128">
        <v>80</v>
      </c>
      <c r="F5" s="127">
        <v>41</v>
      </c>
      <c r="G5" s="129">
        <v>0.11</v>
      </c>
      <c r="H5" s="1"/>
      <c r="I5" s="1"/>
      <c r="J5" s="1"/>
      <c r="K5" s="1"/>
      <c r="L5" s="1"/>
      <c r="M5" s="1"/>
      <c r="N5" s="1"/>
    </row>
    <row r="6" spans="1:14" x14ac:dyDescent="0.3">
      <c r="A6" s="134" t="s">
        <v>2087</v>
      </c>
      <c r="B6" s="127">
        <v>960</v>
      </c>
      <c r="C6" s="128">
        <v>12</v>
      </c>
      <c r="D6" s="128">
        <f t="shared" si="1"/>
        <v>80</v>
      </c>
      <c r="E6" s="128">
        <v>80</v>
      </c>
      <c r="F6" s="127">
        <v>103</v>
      </c>
      <c r="G6" s="129">
        <v>0.22</v>
      </c>
      <c r="H6" s="1"/>
      <c r="I6" s="54" t="s">
        <v>2057</v>
      </c>
      <c r="J6" s="54" t="s">
        <v>2058</v>
      </c>
      <c r="K6" s="54" t="s">
        <v>2268</v>
      </c>
      <c r="L6" s="1"/>
      <c r="M6" s="1"/>
      <c r="N6" s="1"/>
    </row>
    <row r="7" spans="1:14" x14ac:dyDescent="0.3">
      <c r="A7" s="135" t="s">
        <v>2088</v>
      </c>
      <c r="B7" s="130">
        <v>2880</v>
      </c>
      <c r="C7" s="131">
        <v>36</v>
      </c>
      <c r="D7" s="131">
        <f>B7/C7</f>
        <v>80</v>
      </c>
      <c r="E7" s="131">
        <v>80</v>
      </c>
      <c r="F7" s="130">
        <v>258</v>
      </c>
      <c r="G7" s="132">
        <v>0.33300000000000002</v>
      </c>
      <c r="H7" s="1"/>
      <c r="I7" s="54">
        <v>0.06</v>
      </c>
      <c r="J7" s="54">
        <v>0.01</v>
      </c>
      <c r="K7" s="54">
        <v>50000000</v>
      </c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41"/>
      <c r="B11" s="142" t="s">
        <v>1</v>
      </c>
      <c r="C11" s="143" t="s">
        <v>2047</v>
      </c>
      <c r="D11" s="143" t="s">
        <v>2050</v>
      </c>
      <c r="E11" s="144" t="s">
        <v>2048</v>
      </c>
      <c r="F11" s="142" t="s">
        <v>153</v>
      </c>
      <c r="G11" s="144" t="s">
        <v>2082</v>
      </c>
      <c r="H11" s="142" t="s">
        <v>154</v>
      </c>
      <c r="I11" s="143" t="s">
        <v>2052</v>
      </c>
      <c r="J11" s="144" t="s">
        <v>2053</v>
      </c>
      <c r="K11" s="145" t="s">
        <v>2063</v>
      </c>
      <c r="L11" s="146" t="s">
        <v>2064</v>
      </c>
      <c r="M11" s="1"/>
      <c r="N11" s="1"/>
    </row>
    <row r="12" spans="1:14" x14ac:dyDescent="0.3">
      <c r="A12" s="147" t="s">
        <v>2060</v>
      </c>
      <c r="B12" s="148">
        <v>100</v>
      </c>
      <c r="C12" s="149">
        <v>100</v>
      </c>
      <c r="D12" s="149">
        <f>(B12+C12)/0.8</f>
        <v>250</v>
      </c>
      <c r="E12" s="150">
        <v>200</v>
      </c>
      <c r="F12" s="148">
        <v>160</v>
      </c>
      <c r="G12" s="150">
        <f>B12+F12+C12</f>
        <v>360</v>
      </c>
      <c r="H12" s="148">
        <v>35</v>
      </c>
      <c r="I12" s="149">
        <v>0.10199999999999999</v>
      </c>
      <c r="J12" s="150">
        <v>0.51</v>
      </c>
      <c r="K12" s="148">
        <v>8</v>
      </c>
      <c r="L12" s="150">
        <v>0.5</v>
      </c>
      <c r="M12" s="1"/>
      <c r="N12" s="1"/>
    </row>
    <row r="13" spans="1:14" x14ac:dyDescent="0.3">
      <c r="A13" s="151" t="s">
        <v>2061</v>
      </c>
      <c r="B13" s="148">
        <v>300</v>
      </c>
      <c r="C13" s="149">
        <v>300</v>
      </c>
      <c r="D13" s="149">
        <f>(B13+C13)/2.4</f>
        <v>250</v>
      </c>
      <c r="E13" s="150">
        <v>200</v>
      </c>
      <c r="F13" s="148">
        <v>480</v>
      </c>
      <c r="G13" s="150">
        <f t="shared" ref="G13:G14" si="2">B13+F13+C13</f>
        <v>1080</v>
      </c>
      <c r="H13" s="148">
        <v>88</v>
      </c>
      <c r="I13" s="149">
        <v>0.20300000000000001</v>
      </c>
      <c r="J13" s="150">
        <v>1.02</v>
      </c>
      <c r="K13" s="148">
        <v>20</v>
      </c>
      <c r="L13" s="150">
        <v>0.5</v>
      </c>
      <c r="M13" s="1"/>
      <c r="N13" s="1"/>
    </row>
    <row r="14" spans="1:14" x14ac:dyDescent="0.3">
      <c r="A14" s="152" t="s">
        <v>2062</v>
      </c>
      <c r="B14" s="153">
        <v>900</v>
      </c>
      <c r="C14" s="154">
        <v>900</v>
      </c>
      <c r="D14" s="154">
        <f>(B14+C14)/7.2</f>
        <v>250</v>
      </c>
      <c r="E14" s="155">
        <v>200</v>
      </c>
      <c r="F14" s="153">
        <v>1440</v>
      </c>
      <c r="G14" s="155">
        <f t="shared" si="2"/>
        <v>3240</v>
      </c>
      <c r="H14" s="153">
        <v>220</v>
      </c>
      <c r="I14" s="154">
        <v>0.40500000000000003</v>
      </c>
      <c r="J14" s="155">
        <v>2.0299999999999998</v>
      </c>
      <c r="K14" s="153">
        <v>50</v>
      </c>
      <c r="L14" s="155">
        <v>0.5</v>
      </c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41"/>
      <c r="B16" s="142" t="s">
        <v>1</v>
      </c>
      <c r="C16" s="143" t="s">
        <v>2047</v>
      </c>
      <c r="D16" s="143" t="s">
        <v>2050</v>
      </c>
      <c r="E16" s="144" t="s">
        <v>2048</v>
      </c>
      <c r="F16" s="142" t="s">
        <v>153</v>
      </c>
      <c r="G16" s="143" t="s">
        <v>2068</v>
      </c>
      <c r="H16" s="143" t="s">
        <v>2049</v>
      </c>
      <c r="I16" s="143" t="s">
        <v>2082</v>
      </c>
      <c r="J16" s="144" t="s">
        <v>2069</v>
      </c>
      <c r="K16" s="141" t="s">
        <v>2051</v>
      </c>
      <c r="L16" s="142" t="s">
        <v>2063</v>
      </c>
      <c r="M16" s="144" t="s">
        <v>2064</v>
      </c>
      <c r="N16" s="1"/>
    </row>
    <row r="17" spans="1:14" x14ac:dyDescent="0.3">
      <c r="A17" s="147" t="s">
        <v>2065</v>
      </c>
      <c r="B17" s="148">
        <v>80</v>
      </c>
      <c r="C17" s="149">
        <v>80</v>
      </c>
      <c r="D17" s="149">
        <f>(C17+B17)/1</f>
        <v>160</v>
      </c>
      <c r="E17" s="150">
        <v>160</v>
      </c>
      <c r="F17" s="148">
        <v>128</v>
      </c>
      <c r="G17" s="149">
        <v>0.16</v>
      </c>
      <c r="H17" s="149">
        <f>F17/G17</f>
        <v>800</v>
      </c>
      <c r="I17" s="149">
        <f>F17+C17+B17</f>
        <v>288</v>
      </c>
      <c r="J17" s="150">
        <v>800</v>
      </c>
      <c r="K17" s="147">
        <v>13</v>
      </c>
      <c r="L17" s="148">
        <v>8</v>
      </c>
      <c r="M17" s="150">
        <v>0.5</v>
      </c>
      <c r="N17" s="1"/>
    </row>
    <row r="18" spans="1:14" x14ac:dyDescent="0.3">
      <c r="A18" s="151" t="s">
        <v>2066</v>
      </c>
      <c r="B18" s="148">
        <v>240</v>
      </c>
      <c r="C18" s="149">
        <v>240</v>
      </c>
      <c r="D18" s="149">
        <f>(C18+B18)/3</f>
        <v>160</v>
      </c>
      <c r="E18" s="150">
        <v>160</v>
      </c>
      <c r="F18" s="148">
        <v>384</v>
      </c>
      <c r="G18" s="149">
        <v>0.48</v>
      </c>
      <c r="H18" s="149">
        <f t="shared" ref="H18:H19" si="3">F18/G18</f>
        <v>800</v>
      </c>
      <c r="I18" s="149">
        <f t="shared" ref="I18:I19" si="4">F18+C18+B18</f>
        <v>864</v>
      </c>
      <c r="J18" s="150">
        <v>800</v>
      </c>
      <c r="K18" s="151">
        <v>39</v>
      </c>
      <c r="L18" s="148">
        <v>20</v>
      </c>
      <c r="M18" s="150">
        <v>0.5</v>
      </c>
      <c r="N18" s="1"/>
    </row>
    <row r="19" spans="1:14" x14ac:dyDescent="0.3">
      <c r="A19" s="152" t="s">
        <v>2067</v>
      </c>
      <c r="B19" s="153">
        <v>720</v>
      </c>
      <c r="C19" s="154">
        <v>720</v>
      </c>
      <c r="D19" s="154">
        <f>(C19+B19)/9</f>
        <v>160</v>
      </c>
      <c r="E19" s="155">
        <v>160</v>
      </c>
      <c r="F19" s="153">
        <v>1152</v>
      </c>
      <c r="G19" s="154">
        <v>1.44</v>
      </c>
      <c r="H19" s="154">
        <f t="shared" si="3"/>
        <v>800</v>
      </c>
      <c r="I19" s="154">
        <f t="shared" si="4"/>
        <v>2592</v>
      </c>
      <c r="J19" s="155">
        <v>800</v>
      </c>
      <c r="K19" s="152">
        <v>117</v>
      </c>
      <c r="L19" s="153">
        <v>50</v>
      </c>
      <c r="M19" s="155">
        <v>0.5</v>
      </c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56"/>
      <c r="B23" s="157" t="s">
        <v>153</v>
      </c>
      <c r="C23" s="158" t="s">
        <v>2076</v>
      </c>
      <c r="D23" s="157" t="s">
        <v>2064</v>
      </c>
      <c r="E23" s="159" t="s">
        <v>2077</v>
      </c>
      <c r="F23" s="158" t="s">
        <v>2078</v>
      </c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56" t="s">
        <v>148</v>
      </c>
      <c r="B24" s="160">
        <v>325</v>
      </c>
      <c r="C24" s="161">
        <v>41</v>
      </c>
      <c r="D24" s="160">
        <v>0.8</v>
      </c>
      <c r="E24" s="162">
        <v>1</v>
      </c>
      <c r="F24" s="161">
        <v>0.5</v>
      </c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63" t="s">
        <v>149</v>
      </c>
      <c r="B25" s="160">
        <v>975</v>
      </c>
      <c r="C25" s="161">
        <v>103</v>
      </c>
      <c r="D25" s="160">
        <v>0.8</v>
      </c>
      <c r="E25" s="162">
        <v>2</v>
      </c>
      <c r="F25" s="161">
        <v>1</v>
      </c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64" t="s">
        <v>150</v>
      </c>
      <c r="B26" s="165">
        <v>2925</v>
      </c>
      <c r="C26" s="166">
        <v>258</v>
      </c>
      <c r="D26" s="165">
        <v>0.8</v>
      </c>
      <c r="E26" s="167">
        <v>3</v>
      </c>
      <c r="F26" s="166">
        <v>1.5</v>
      </c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168"/>
      <c r="B30" s="157" t="s">
        <v>153</v>
      </c>
      <c r="C30" s="159" t="s">
        <v>871</v>
      </c>
      <c r="D30" s="159" t="s">
        <v>2049</v>
      </c>
      <c r="E30" s="159" t="s">
        <v>2081</v>
      </c>
      <c r="F30" s="158" t="s">
        <v>2051</v>
      </c>
      <c r="G30" s="157" t="s">
        <v>2076</v>
      </c>
      <c r="H30" s="159" t="s">
        <v>2080</v>
      </c>
      <c r="I30" s="158" t="s">
        <v>2079</v>
      </c>
      <c r="J30" s="157" t="s">
        <v>2052</v>
      </c>
      <c r="K30" s="158" t="s">
        <v>2053</v>
      </c>
      <c r="L30" s="1"/>
      <c r="M30" s="1"/>
      <c r="N30" s="1"/>
    </row>
    <row r="31" spans="1:14" x14ac:dyDescent="0.3">
      <c r="A31" s="156" t="s">
        <v>2073</v>
      </c>
      <c r="B31" s="160">
        <v>260</v>
      </c>
      <c r="C31" s="162">
        <v>0.32500000000000001</v>
      </c>
      <c r="D31" s="162">
        <f>B2/C2</f>
        <v>200</v>
      </c>
      <c r="E31" s="162">
        <v>200</v>
      </c>
      <c r="F31" s="161">
        <v>26</v>
      </c>
      <c r="G31" s="160">
        <v>41</v>
      </c>
      <c r="H31" s="162">
        <v>0.5</v>
      </c>
      <c r="I31" s="161">
        <v>0.5</v>
      </c>
      <c r="J31" s="160">
        <v>0.10199999999999999</v>
      </c>
      <c r="K31" s="161">
        <v>0.51</v>
      </c>
      <c r="L31" s="1"/>
      <c r="M31" s="1"/>
      <c r="N31" s="1"/>
    </row>
    <row r="32" spans="1:14" x14ac:dyDescent="0.3">
      <c r="A32" s="163" t="s">
        <v>2074</v>
      </c>
      <c r="B32" s="160">
        <v>780</v>
      </c>
      <c r="C32" s="162">
        <v>0.97499999999999998</v>
      </c>
      <c r="D32" s="162">
        <f t="shared" ref="D32:D33" si="5">B3/C3</f>
        <v>200</v>
      </c>
      <c r="E32" s="162">
        <v>200</v>
      </c>
      <c r="F32" s="161">
        <v>78</v>
      </c>
      <c r="G32" s="160">
        <v>103</v>
      </c>
      <c r="H32" s="162">
        <v>0.5</v>
      </c>
      <c r="I32" s="161">
        <v>0.5</v>
      </c>
      <c r="J32" s="160">
        <v>0.20300000000000001</v>
      </c>
      <c r="K32" s="161">
        <v>1.02</v>
      </c>
      <c r="L32" s="1"/>
      <c r="M32" s="1"/>
      <c r="N32" s="1"/>
    </row>
    <row r="33" spans="1:14" x14ac:dyDescent="0.3">
      <c r="A33" s="164" t="s">
        <v>2075</v>
      </c>
      <c r="B33" s="165">
        <v>2340</v>
      </c>
      <c r="C33" s="167">
        <v>2.9249999999999998</v>
      </c>
      <c r="D33" s="167">
        <f t="shared" si="5"/>
        <v>200</v>
      </c>
      <c r="E33" s="167">
        <v>200</v>
      </c>
      <c r="F33" s="166">
        <v>234</v>
      </c>
      <c r="G33" s="165">
        <v>258</v>
      </c>
      <c r="H33" s="167">
        <v>0.5</v>
      </c>
      <c r="I33" s="166">
        <v>0.5</v>
      </c>
      <c r="J33" s="165">
        <v>0.40500000000000003</v>
      </c>
      <c r="K33" s="166">
        <v>2.0299999999999998</v>
      </c>
      <c r="L33" s="1"/>
      <c r="M33" s="1"/>
      <c r="N33" s="1"/>
    </row>
    <row r="34" spans="1:1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1" spans="1:14" x14ac:dyDescent="0.3">
      <c r="A41" s="113"/>
      <c r="B41" s="107" t="s">
        <v>2094</v>
      </c>
      <c r="C41" s="108" t="s">
        <v>2095</v>
      </c>
      <c r="D41" s="109" t="s">
        <v>2097</v>
      </c>
    </row>
    <row r="42" spans="1:14" x14ac:dyDescent="0.3">
      <c r="A42" s="110" t="s">
        <v>2089</v>
      </c>
      <c r="B42" s="98"/>
      <c r="C42" s="99"/>
      <c r="D42" s="100"/>
    </row>
    <row r="43" spans="1:14" x14ac:dyDescent="0.3">
      <c r="A43" s="111" t="s">
        <v>2096</v>
      </c>
      <c r="B43" s="101"/>
      <c r="C43" s="102"/>
      <c r="D43" s="103"/>
    </row>
    <row r="44" spans="1:14" x14ac:dyDescent="0.3">
      <c r="A44" s="111" t="s">
        <v>2090</v>
      </c>
      <c r="B44" s="101"/>
      <c r="C44" s="102"/>
      <c r="D44" s="103"/>
    </row>
    <row r="45" spans="1:14" x14ac:dyDescent="0.3">
      <c r="A45" s="111" t="s">
        <v>2091</v>
      </c>
      <c r="B45" s="101"/>
      <c r="C45" s="102"/>
      <c r="D45" s="103"/>
    </row>
    <row r="46" spans="1:14" x14ac:dyDescent="0.3">
      <c r="A46" s="111" t="s">
        <v>2092</v>
      </c>
      <c r="B46" s="101"/>
      <c r="C46" s="102"/>
      <c r="D46" s="103"/>
    </row>
    <row r="47" spans="1:14" x14ac:dyDescent="0.3">
      <c r="A47" s="112" t="s">
        <v>2093</v>
      </c>
      <c r="B47" s="104"/>
      <c r="C47" s="105"/>
      <c r="D47" s="106"/>
    </row>
  </sheetData>
  <sheetProtection sheet="1" objects="1" scenarios="1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0D9-4AA9-43A0-8A8D-F85E6EF0E2B3}">
  <dimension ref="A1:L103"/>
  <sheetViews>
    <sheetView tabSelected="1" topLeftCell="E61" zoomScaleNormal="100" workbookViewId="0">
      <selection activeCell="D103" sqref="C80:D103"/>
    </sheetView>
  </sheetViews>
  <sheetFormatPr defaultRowHeight="14" outlineLevelRow="1" outlineLevelCol="1" x14ac:dyDescent="0.3"/>
  <cols>
    <col min="3" max="3" width="25.83203125" customWidth="1"/>
    <col min="4" max="4" width="5.9140625" customWidth="1"/>
    <col min="5" max="5" width="26" customWidth="1"/>
    <col min="6" max="6" width="5.58203125" customWidth="1"/>
    <col min="7" max="7" width="27.08203125" customWidth="1" outlineLevel="1"/>
    <col min="8" max="8" width="5.9140625" customWidth="1" outlineLevel="1"/>
    <col min="9" max="9" width="26.6640625" customWidth="1" outlineLevel="1"/>
    <col min="10" max="10" width="6.5" customWidth="1" outlineLevel="1"/>
    <col min="11" max="11" width="24.33203125" customWidth="1"/>
    <col min="12" max="12" width="4.83203125" customWidth="1"/>
    <col min="13" max="13" width="5.6640625" customWidth="1"/>
    <col min="14" max="14" width="24.33203125" customWidth="1"/>
    <col min="15" max="15" width="4.75" customWidth="1"/>
    <col min="16" max="16" width="8.75" customWidth="1"/>
    <col min="17" max="17" width="19.4140625" customWidth="1"/>
    <col min="18" max="18" width="5" customWidth="1"/>
    <col min="19" max="19" width="20.4140625" customWidth="1"/>
    <col min="20" max="20" width="5.83203125" customWidth="1"/>
    <col min="21" max="21" width="24" customWidth="1"/>
    <col min="22" max="22" width="6.75" customWidth="1"/>
    <col min="23" max="23" width="13.58203125" customWidth="1"/>
    <col min="24" max="24" width="17.33203125" customWidth="1"/>
    <col min="25" max="25" width="5.4140625" customWidth="1"/>
  </cols>
  <sheetData>
    <row r="1" spans="1:12" outlineLevel="1" x14ac:dyDescent="0.3">
      <c r="A1" s="56" t="s">
        <v>2059</v>
      </c>
      <c r="B1" s="57" t="s">
        <v>1945</v>
      </c>
      <c r="C1" s="5" t="s">
        <v>2587</v>
      </c>
      <c r="D1" s="6" t="s">
        <v>1944</v>
      </c>
      <c r="E1" s="5" t="s">
        <v>2588</v>
      </c>
      <c r="F1" s="6" t="s">
        <v>1944</v>
      </c>
      <c r="G1" s="5" t="s">
        <v>2293</v>
      </c>
      <c r="H1" s="6" t="s">
        <v>1944</v>
      </c>
      <c r="I1" s="30" t="s">
        <v>2296</v>
      </c>
      <c r="J1" s="31" t="s">
        <v>1944</v>
      </c>
      <c r="K1" s="30" t="s">
        <v>1943</v>
      </c>
      <c r="L1" s="31" t="s">
        <v>1944</v>
      </c>
    </row>
    <row r="2" spans="1:12" outlineLevel="1" x14ac:dyDescent="0.3">
      <c r="A2" s="56">
        <v>2</v>
      </c>
      <c r="B2" s="12" t="s">
        <v>1946</v>
      </c>
      <c r="C2" s="5" t="s">
        <v>2299</v>
      </c>
      <c r="D2" s="61">
        <f xml:space="preserve"> ROUND((ROW()-ROW(D$1)-1)*0.1*首页!$J$2+首页!$J$2,2)</f>
        <v>0.11</v>
      </c>
      <c r="E2" s="5" t="s">
        <v>2323</v>
      </c>
      <c r="F2" s="6">
        <f xml:space="preserve"> ROUNDUP((ROW()-ROW(F$1))*0.1*首页!$K$2+首页!$K$2,2)</f>
        <v>0.42</v>
      </c>
      <c r="G2" s="5" t="s">
        <v>2443</v>
      </c>
      <c r="H2" s="6">
        <f xml:space="preserve"> ROUND((ROW()-ROW(H$1))*0.1*首页!$I$12+首页!$I$12,2)</f>
        <v>0.11</v>
      </c>
      <c r="I2" s="5" t="s">
        <v>2467</v>
      </c>
      <c r="J2" s="6">
        <f xml:space="preserve"> ROUND((ROW()-ROW(J$1))*0.1*首页!$J$12+首页!$J$12,2)</f>
        <v>0.56000000000000005</v>
      </c>
      <c r="K2" s="61" t="s">
        <v>1750</v>
      </c>
      <c r="L2" s="6">
        <v>0</v>
      </c>
    </row>
    <row r="3" spans="1:12" outlineLevel="1" x14ac:dyDescent="0.3">
      <c r="A3" s="56">
        <v>3</v>
      </c>
      <c r="B3" s="12" t="s">
        <v>1946</v>
      </c>
      <c r="C3" s="12" t="s">
        <v>2300</v>
      </c>
      <c r="D3" s="182">
        <f xml:space="preserve"> ROUND((ROW()-ROW(D$1)-1)*0.1*首页!$J$2+首页!$J$2,2)</f>
        <v>0.13</v>
      </c>
      <c r="E3" s="12" t="s">
        <v>2324</v>
      </c>
      <c r="F3" s="13">
        <f xml:space="preserve"> ROUNDUP((ROW()-ROW(F$1))*0.1*首页!$K$2+首页!$K$2,2)</f>
        <v>0.46</v>
      </c>
      <c r="G3" s="12" t="s">
        <v>2444</v>
      </c>
      <c r="H3" s="13">
        <f xml:space="preserve"> ROUND((ROW()-ROW(H$1))*0.1*首页!$I$12+首页!$I$12,2)</f>
        <v>0.12</v>
      </c>
      <c r="I3" s="12" t="s">
        <v>2468</v>
      </c>
      <c r="J3" s="13">
        <f xml:space="preserve"> ROUND((ROW()-ROW(J$1))*0.1*首页!$J$12+首页!$J$12,2)</f>
        <v>0.61</v>
      </c>
      <c r="K3" s="4" t="s">
        <v>1751</v>
      </c>
      <c r="L3" s="13">
        <v>0</v>
      </c>
    </row>
    <row r="4" spans="1:12" outlineLevel="1" x14ac:dyDescent="0.3">
      <c r="A4" s="56">
        <v>4</v>
      </c>
      <c r="B4" s="12" t="s">
        <v>1946</v>
      </c>
      <c r="C4" s="12" t="s">
        <v>2301</v>
      </c>
      <c r="D4" s="182">
        <f xml:space="preserve"> ROUND((ROW()-ROW(D$1)-1)*0.1*首页!$J$2+首页!$J$2,2)</f>
        <v>0.14000000000000001</v>
      </c>
      <c r="E4" s="12" t="s">
        <v>2325</v>
      </c>
      <c r="F4" s="13">
        <f xml:space="preserve"> ROUNDUP((ROW()-ROW(F$1))*0.1*首页!$K$2+首页!$K$2,2)</f>
        <v>0.5</v>
      </c>
      <c r="G4" s="12" t="s">
        <v>2445</v>
      </c>
      <c r="H4" s="13">
        <f xml:space="preserve"> ROUND((ROW()-ROW(H$1))*0.1*首页!$I$12+首页!$I$12,2)</f>
        <v>0.13</v>
      </c>
      <c r="I4" s="12" t="s">
        <v>2469</v>
      </c>
      <c r="J4" s="13">
        <f xml:space="preserve"> ROUND((ROW()-ROW(J$1))*0.1*首页!$J$12+首页!$J$12,2)</f>
        <v>0.66</v>
      </c>
      <c r="K4" s="4" t="s">
        <v>1752</v>
      </c>
      <c r="L4" s="13">
        <v>0</v>
      </c>
    </row>
    <row r="5" spans="1:12" outlineLevel="1" x14ac:dyDescent="0.3">
      <c r="A5" s="56">
        <v>5</v>
      </c>
      <c r="B5" s="12" t="s">
        <v>1946</v>
      </c>
      <c r="C5" s="12" t="s">
        <v>2302</v>
      </c>
      <c r="D5" s="182">
        <f xml:space="preserve"> ROUND((ROW()-ROW(D$1)-1)*0.1*首页!$J$2+首页!$J$2,2)</f>
        <v>0.15</v>
      </c>
      <c r="E5" s="12" t="s">
        <v>2326</v>
      </c>
      <c r="F5" s="13">
        <f xml:space="preserve"> ROUNDUP((ROW()-ROW(F$1))*0.1*首页!$K$2+首页!$K$2,2)</f>
        <v>0.54</v>
      </c>
      <c r="G5" s="12" t="s">
        <v>2446</v>
      </c>
      <c r="H5" s="13">
        <f xml:space="preserve"> ROUND((ROW()-ROW(H$1))*0.1*首页!$I$12+首页!$I$12,2)</f>
        <v>0.14000000000000001</v>
      </c>
      <c r="I5" s="12" t="s">
        <v>2470</v>
      </c>
      <c r="J5" s="13">
        <f xml:space="preserve"> ROUND((ROW()-ROW(J$1))*0.1*首页!$J$12+首页!$J$12,2)</f>
        <v>0.71</v>
      </c>
      <c r="K5" s="4" t="s">
        <v>1753</v>
      </c>
      <c r="L5" s="13">
        <v>0</v>
      </c>
    </row>
    <row r="6" spans="1:12" outlineLevel="1" x14ac:dyDescent="0.3">
      <c r="A6" s="56">
        <v>6</v>
      </c>
      <c r="B6" s="12" t="s">
        <v>1946</v>
      </c>
      <c r="C6" s="12" t="s">
        <v>2303</v>
      </c>
      <c r="D6" s="182">
        <f xml:space="preserve"> ROUND((ROW()-ROW(D$1)-1)*0.1*首页!$J$2+首页!$J$2,2)</f>
        <v>0.16</v>
      </c>
      <c r="E6" s="12" t="s">
        <v>2327</v>
      </c>
      <c r="F6" s="13">
        <f xml:space="preserve"> ROUNDUP((ROW()-ROW(F$1))*0.1*首页!$K$2+首页!$K$2,2)</f>
        <v>0.56999999999999995</v>
      </c>
      <c r="G6" s="12" t="s">
        <v>2447</v>
      </c>
      <c r="H6" s="13">
        <f xml:space="preserve"> ROUND((ROW()-ROW(H$1))*0.1*首页!$I$12+首页!$I$12,2)</f>
        <v>0.15</v>
      </c>
      <c r="I6" s="12" t="s">
        <v>2471</v>
      </c>
      <c r="J6" s="13">
        <f xml:space="preserve"> ROUND((ROW()-ROW(J$1))*0.1*首页!$J$12+首页!$J$12,2)</f>
        <v>0.77</v>
      </c>
      <c r="K6" s="4" t="s">
        <v>1754</v>
      </c>
      <c r="L6" s="13">
        <v>0</v>
      </c>
    </row>
    <row r="7" spans="1:12" outlineLevel="1" x14ac:dyDescent="0.3">
      <c r="A7" s="56">
        <v>7</v>
      </c>
      <c r="B7" s="12" t="s">
        <v>1946</v>
      </c>
      <c r="C7" s="12" t="s">
        <v>2304</v>
      </c>
      <c r="D7" s="182">
        <f xml:space="preserve"> ROUND((ROW()-ROW(D$1)-1)*0.1*首页!$J$2+首页!$J$2,2)</f>
        <v>0.17</v>
      </c>
      <c r="E7" s="12" t="s">
        <v>2328</v>
      </c>
      <c r="F7" s="13">
        <f xml:space="preserve"> ROUNDUP((ROW()-ROW(F$1))*0.1*首页!$K$2+首页!$K$2,2)</f>
        <v>0.61</v>
      </c>
      <c r="G7" s="12" t="s">
        <v>2448</v>
      </c>
      <c r="H7" s="13">
        <f xml:space="preserve"> ROUND((ROW()-ROW(H$1))*0.1*首页!$I$12+首页!$I$12,2)</f>
        <v>0.16</v>
      </c>
      <c r="I7" s="12" t="s">
        <v>2472</v>
      </c>
      <c r="J7" s="13">
        <f xml:space="preserve"> ROUND((ROW()-ROW(J$1))*0.1*首页!$J$12+首页!$J$12,2)</f>
        <v>0.82</v>
      </c>
      <c r="K7" s="4" t="s">
        <v>1755</v>
      </c>
      <c r="L7" s="13">
        <v>0</v>
      </c>
    </row>
    <row r="8" spans="1:12" outlineLevel="1" x14ac:dyDescent="0.3">
      <c r="A8" s="56">
        <v>8</v>
      </c>
      <c r="B8" s="12" t="s">
        <v>1946</v>
      </c>
      <c r="C8" s="12" t="s">
        <v>2305</v>
      </c>
      <c r="D8" s="182">
        <f xml:space="preserve"> ROUND((ROW()-ROW(D$1)-1)*0.1*首页!$J$2+首页!$J$2,2)</f>
        <v>0.18</v>
      </c>
      <c r="E8" s="12" t="s">
        <v>2329</v>
      </c>
      <c r="F8" s="13">
        <f xml:space="preserve"> ROUNDUP((ROW()-ROW(F$1))*0.1*首页!$K$2+首页!$K$2,2)</f>
        <v>0.65</v>
      </c>
      <c r="G8" s="12" t="s">
        <v>2449</v>
      </c>
      <c r="H8" s="13">
        <f xml:space="preserve"> ROUND((ROW()-ROW(H$1))*0.1*首页!$I$12+首页!$I$12,2)</f>
        <v>0.17</v>
      </c>
      <c r="I8" s="12" t="s">
        <v>2473</v>
      </c>
      <c r="J8" s="13">
        <f xml:space="preserve"> ROUND((ROW()-ROW(J$1))*0.1*首页!$J$12+首页!$J$12,2)</f>
        <v>0.87</v>
      </c>
      <c r="K8" s="4" t="s">
        <v>1756</v>
      </c>
      <c r="L8" s="13">
        <v>0</v>
      </c>
    </row>
    <row r="9" spans="1:12" outlineLevel="1" x14ac:dyDescent="0.3">
      <c r="A9" s="56">
        <v>9</v>
      </c>
      <c r="B9" s="12" t="s">
        <v>1946</v>
      </c>
      <c r="C9" s="12" t="s">
        <v>2306</v>
      </c>
      <c r="D9" s="182">
        <f xml:space="preserve"> ROUND((ROW()-ROW(D$1)-1)*0.1*首页!$J$2+首页!$J$2,2)</f>
        <v>0.19</v>
      </c>
      <c r="E9" s="12" t="s">
        <v>2330</v>
      </c>
      <c r="F9" s="13">
        <f xml:space="preserve"> ROUNDUP((ROW()-ROW(F$1))*0.1*首页!$K$2+首页!$K$2,2)</f>
        <v>0.69000000000000006</v>
      </c>
      <c r="G9" s="12" t="s">
        <v>2450</v>
      </c>
      <c r="H9" s="13">
        <f xml:space="preserve"> ROUND((ROW()-ROW(H$1))*0.1*首页!$I$12+首页!$I$12,2)</f>
        <v>0.18</v>
      </c>
      <c r="I9" s="12" t="s">
        <v>2474</v>
      </c>
      <c r="J9" s="13">
        <f xml:space="preserve"> ROUND((ROW()-ROW(J$1))*0.1*首页!$J$12+首页!$J$12,2)</f>
        <v>0.92</v>
      </c>
      <c r="K9" s="4" t="s">
        <v>1757</v>
      </c>
      <c r="L9" s="13">
        <v>0</v>
      </c>
    </row>
    <row r="10" spans="1:12" outlineLevel="1" x14ac:dyDescent="0.3">
      <c r="A10" s="56">
        <v>10</v>
      </c>
      <c r="B10" s="12" t="s">
        <v>1946</v>
      </c>
      <c r="C10" s="12" t="s">
        <v>2307</v>
      </c>
      <c r="D10" s="182">
        <f xml:space="preserve"> ROUND((ROW()-ROW(D$1)-1)*0.1*首页!$J$2+首页!$J$2,2)</f>
        <v>0.21</v>
      </c>
      <c r="E10" s="12" t="s">
        <v>2331</v>
      </c>
      <c r="F10" s="13">
        <f xml:space="preserve"> ROUNDUP((ROW()-ROW(F$1))*0.1*首页!$K$2+首页!$K$2,2)</f>
        <v>0.73</v>
      </c>
      <c r="G10" s="12" t="s">
        <v>2451</v>
      </c>
      <c r="H10" s="13">
        <f xml:space="preserve"> ROUND((ROW()-ROW(H$1))*0.1*首页!$I$12+首页!$I$12,2)</f>
        <v>0.19</v>
      </c>
      <c r="I10" s="12" t="s">
        <v>2475</v>
      </c>
      <c r="J10" s="13">
        <f xml:space="preserve"> ROUND((ROW()-ROW(J$1))*0.1*首页!$J$12+首页!$J$12,2)</f>
        <v>0.97</v>
      </c>
      <c r="K10" s="4" t="s">
        <v>1758</v>
      </c>
      <c r="L10" s="13">
        <v>0</v>
      </c>
    </row>
    <row r="11" spans="1:12" outlineLevel="1" x14ac:dyDescent="0.3">
      <c r="A11" s="56">
        <v>11</v>
      </c>
      <c r="B11" s="12" t="s">
        <v>1946</v>
      </c>
      <c r="C11" s="12" t="s">
        <v>2308</v>
      </c>
      <c r="D11" s="182">
        <f xml:space="preserve"> ROUND((ROW()-ROW(D$1)-1)*0.1*首页!$J$2+首页!$J$2,2)</f>
        <v>0.22</v>
      </c>
      <c r="E11" s="12" t="s">
        <v>2332</v>
      </c>
      <c r="F11" s="13">
        <f xml:space="preserve"> ROUNDUP((ROW()-ROW(F$1))*0.1*首页!$K$2+首页!$K$2,2)</f>
        <v>0.76</v>
      </c>
      <c r="G11" s="12" t="s">
        <v>2452</v>
      </c>
      <c r="H11" s="13">
        <f xml:space="preserve"> ROUND((ROW()-ROW(H$1))*0.1*首页!$I$12+首页!$I$12,2)</f>
        <v>0.2</v>
      </c>
      <c r="I11" s="12" t="s">
        <v>2476</v>
      </c>
      <c r="J11" s="13">
        <f xml:space="preserve"> ROUND((ROW()-ROW(J$1))*0.1*首页!$J$12+首页!$J$12,2)</f>
        <v>1.02</v>
      </c>
      <c r="K11" s="4" t="s">
        <v>1759</v>
      </c>
      <c r="L11" s="13">
        <v>0</v>
      </c>
    </row>
    <row r="12" spans="1:12" outlineLevel="1" x14ac:dyDescent="0.3">
      <c r="A12" s="56">
        <v>12</v>
      </c>
      <c r="B12" s="12" t="s">
        <v>1946</v>
      </c>
      <c r="C12" s="12" t="s">
        <v>2309</v>
      </c>
      <c r="D12" s="182">
        <f xml:space="preserve"> ROUND((ROW()-ROW(D$1)-1)*0.1*首页!$J$2+首页!$J$2,2)</f>
        <v>0.23</v>
      </c>
      <c r="E12" s="12" t="s">
        <v>2333</v>
      </c>
      <c r="F12" s="13">
        <f xml:space="preserve"> ROUNDUP((ROW()-ROW(F$1))*0.1*首页!$K$2+首页!$K$2,2)</f>
        <v>0.8</v>
      </c>
      <c r="G12" s="12" t="s">
        <v>2453</v>
      </c>
      <c r="H12" s="13">
        <f xml:space="preserve"> ROUND((ROW()-ROW(H$1))*0.1*首页!$I$12+首页!$I$12,2)</f>
        <v>0.21</v>
      </c>
      <c r="I12" s="12" t="s">
        <v>2477</v>
      </c>
      <c r="J12" s="13">
        <f xml:space="preserve"> ROUND((ROW()-ROW(J$1))*0.1*首页!$J$12+首页!$J$12,2)</f>
        <v>1.07</v>
      </c>
      <c r="K12" s="4" t="s">
        <v>1760</v>
      </c>
      <c r="L12" s="13">
        <v>0</v>
      </c>
    </row>
    <row r="13" spans="1:12" outlineLevel="1" x14ac:dyDescent="0.3">
      <c r="A13" s="56">
        <v>13</v>
      </c>
      <c r="B13" s="12" t="s">
        <v>1946</v>
      </c>
      <c r="C13" s="12" t="s">
        <v>2310</v>
      </c>
      <c r="D13" s="182">
        <f xml:space="preserve"> ROUND((ROW()-ROW(D$1)-1)*0.1*首页!$J$2+首页!$J$2,2)</f>
        <v>0.24</v>
      </c>
      <c r="E13" s="12" t="s">
        <v>2334</v>
      </c>
      <c r="F13" s="13">
        <f xml:space="preserve"> ROUNDUP((ROW()-ROW(F$1))*0.1*首页!$K$2+首页!$K$2,2)</f>
        <v>0.84</v>
      </c>
      <c r="G13" s="12" t="s">
        <v>2454</v>
      </c>
      <c r="H13" s="13">
        <f xml:space="preserve"> ROUND((ROW()-ROW(H$1))*0.1*首页!$I$12+首页!$I$12,2)</f>
        <v>0.22</v>
      </c>
      <c r="I13" s="12" t="s">
        <v>2478</v>
      </c>
      <c r="J13" s="13">
        <f xml:space="preserve"> ROUND((ROW()-ROW(J$1))*0.1*首页!$J$12+首页!$J$12,2)</f>
        <v>1.1200000000000001</v>
      </c>
      <c r="K13" s="4" t="s">
        <v>1761</v>
      </c>
      <c r="L13" s="13">
        <v>0</v>
      </c>
    </row>
    <row r="14" spans="1:12" outlineLevel="1" x14ac:dyDescent="0.3">
      <c r="A14" s="56">
        <v>14</v>
      </c>
      <c r="B14" s="12" t="s">
        <v>1946</v>
      </c>
      <c r="C14" s="12" t="s">
        <v>2311</v>
      </c>
      <c r="D14" s="182">
        <f xml:space="preserve"> ROUND((ROW()-ROW(D$1)-1)*0.1*首页!$J$2+首页!$J$2,2)</f>
        <v>0.25</v>
      </c>
      <c r="E14" s="12" t="s">
        <v>2335</v>
      </c>
      <c r="F14" s="13">
        <f xml:space="preserve"> ROUNDUP((ROW()-ROW(F$1))*0.1*首页!$K$2+首页!$K$2,2)</f>
        <v>0.88</v>
      </c>
      <c r="G14" s="12" t="s">
        <v>2455</v>
      </c>
      <c r="H14" s="13">
        <f xml:space="preserve"> ROUND((ROW()-ROW(H$1))*0.1*首页!$I$12+首页!$I$12,2)</f>
        <v>0.23</v>
      </c>
      <c r="I14" s="12" t="s">
        <v>2479</v>
      </c>
      <c r="J14" s="13">
        <f xml:space="preserve"> ROUND((ROW()-ROW(J$1))*0.1*首页!$J$12+首页!$J$12,2)</f>
        <v>1.17</v>
      </c>
      <c r="K14" s="4" t="s">
        <v>1762</v>
      </c>
      <c r="L14" s="13">
        <v>0</v>
      </c>
    </row>
    <row r="15" spans="1:12" outlineLevel="1" x14ac:dyDescent="0.3">
      <c r="A15" s="56">
        <v>15</v>
      </c>
      <c r="B15" s="12" t="s">
        <v>1946</v>
      </c>
      <c r="C15" s="12" t="s">
        <v>2312</v>
      </c>
      <c r="D15" s="182">
        <f xml:space="preserve"> ROUND((ROW()-ROW(D$1)-1)*0.1*首页!$J$2+首页!$J$2,2)</f>
        <v>0.26</v>
      </c>
      <c r="E15" s="12" t="s">
        <v>2336</v>
      </c>
      <c r="F15" s="13">
        <f xml:space="preserve"> ROUNDUP((ROW()-ROW(F$1))*0.1*首页!$K$2+首页!$K$2,2)</f>
        <v>0.92</v>
      </c>
      <c r="G15" s="12" t="s">
        <v>2456</v>
      </c>
      <c r="H15" s="13">
        <f xml:space="preserve"> ROUND((ROW()-ROW(H$1))*0.1*首页!$I$12+首页!$I$12,2)</f>
        <v>0.24</v>
      </c>
      <c r="I15" s="12" t="s">
        <v>2480</v>
      </c>
      <c r="J15" s="13">
        <f xml:space="preserve"> ROUND((ROW()-ROW(J$1))*0.1*首页!$J$12+首页!$J$12,2)</f>
        <v>1.22</v>
      </c>
      <c r="K15" s="4" t="s">
        <v>1763</v>
      </c>
      <c r="L15" s="13">
        <v>0</v>
      </c>
    </row>
    <row r="16" spans="1:12" outlineLevel="1" x14ac:dyDescent="0.3">
      <c r="A16" s="56">
        <v>16</v>
      </c>
      <c r="B16" s="12" t="s">
        <v>1946</v>
      </c>
      <c r="C16" s="12" t="s">
        <v>2313</v>
      </c>
      <c r="D16" s="182">
        <f xml:space="preserve"> ROUND((ROW()-ROW(D$1)-1)*0.1*首页!$J$2+首页!$J$2,2)</f>
        <v>0.27</v>
      </c>
      <c r="E16" s="12" t="s">
        <v>2337</v>
      </c>
      <c r="F16" s="13">
        <f xml:space="preserve"> ROUNDUP((ROW()-ROW(F$1))*0.1*首页!$K$2+首页!$K$2,2)</f>
        <v>0.95</v>
      </c>
      <c r="G16" s="12" t="s">
        <v>2457</v>
      </c>
      <c r="H16" s="13">
        <f xml:space="preserve"> ROUND((ROW()-ROW(H$1))*0.1*首页!$I$12+首页!$I$12,2)</f>
        <v>0.26</v>
      </c>
      <c r="I16" s="12" t="s">
        <v>2481</v>
      </c>
      <c r="J16" s="13">
        <f xml:space="preserve"> ROUND((ROW()-ROW(J$1))*0.1*首页!$J$12+首页!$J$12,2)</f>
        <v>1.28</v>
      </c>
      <c r="K16" s="4" t="s">
        <v>1764</v>
      </c>
      <c r="L16" s="13">
        <v>0</v>
      </c>
    </row>
    <row r="17" spans="1:12" outlineLevel="1" x14ac:dyDescent="0.3">
      <c r="A17" s="56">
        <v>17</v>
      </c>
      <c r="B17" s="12" t="s">
        <v>1946</v>
      </c>
      <c r="C17" s="12" t="s">
        <v>2314</v>
      </c>
      <c r="D17" s="182">
        <f xml:space="preserve"> ROUND((ROW()-ROW(D$1)-1)*0.1*首页!$J$2+首页!$J$2,2)</f>
        <v>0.28999999999999998</v>
      </c>
      <c r="E17" s="12" t="s">
        <v>2338</v>
      </c>
      <c r="F17" s="13">
        <f xml:space="preserve"> ROUNDUP((ROW()-ROW(F$1))*0.1*首页!$K$2+首页!$K$2,2)</f>
        <v>0.99</v>
      </c>
      <c r="G17" s="12" t="s">
        <v>2458</v>
      </c>
      <c r="H17" s="13">
        <f xml:space="preserve"> ROUND((ROW()-ROW(H$1))*0.1*首页!$I$12+首页!$I$12,2)</f>
        <v>0.27</v>
      </c>
      <c r="I17" s="12" t="s">
        <v>2482</v>
      </c>
      <c r="J17" s="13">
        <f xml:space="preserve"> ROUND((ROW()-ROW(J$1))*0.1*首页!$J$12+首页!$J$12,2)</f>
        <v>1.33</v>
      </c>
      <c r="K17" s="4" t="s">
        <v>1765</v>
      </c>
      <c r="L17" s="13">
        <v>0</v>
      </c>
    </row>
    <row r="18" spans="1:12" outlineLevel="1" x14ac:dyDescent="0.3">
      <c r="A18" s="56">
        <v>18</v>
      </c>
      <c r="B18" s="12" t="s">
        <v>1946</v>
      </c>
      <c r="C18" s="12" t="s">
        <v>2315</v>
      </c>
      <c r="D18" s="182">
        <f xml:space="preserve"> ROUND((ROW()-ROW(D$1)-1)*0.1*首页!$J$2+首页!$J$2,2)</f>
        <v>0.3</v>
      </c>
      <c r="E18" s="12" t="s">
        <v>2339</v>
      </c>
      <c r="F18" s="13">
        <f xml:space="preserve"> ROUNDUP((ROW()-ROW(F$1))*0.1*首页!$K$2+首页!$K$2,2)</f>
        <v>1.03</v>
      </c>
      <c r="G18" s="12" t="s">
        <v>2459</v>
      </c>
      <c r="H18" s="13">
        <f xml:space="preserve"> ROUND((ROW()-ROW(H$1))*0.1*首页!$I$12+首页!$I$12,2)</f>
        <v>0.28000000000000003</v>
      </c>
      <c r="I18" s="12" t="s">
        <v>2483</v>
      </c>
      <c r="J18" s="13">
        <f xml:space="preserve"> ROUND((ROW()-ROW(J$1))*0.1*首页!$J$12+首页!$J$12,2)</f>
        <v>1.38</v>
      </c>
      <c r="K18" s="4" t="s">
        <v>1766</v>
      </c>
      <c r="L18" s="13">
        <v>0</v>
      </c>
    </row>
    <row r="19" spans="1:12" outlineLevel="1" x14ac:dyDescent="0.3">
      <c r="A19" s="56">
        <v>19</v>
      </c>
      <c r="B19" s="12" t="s">
        <v>1946</v>
      </c>
      <c r="C19" s="12" t="s">
        <v>2316</v>
      </c>
      <c r="D19" s="182">
        <f xml:space="preserve"> ROUND((ROW()-ROW(D$1)-1)*0.1*首页!$J$2+首页!$J$2,2)</f>
        <v>0.31</v>
      </c>
      <c r="E19" s="12" t="s">
        <v>2340</v>
      </c>
      <c r="F19" s="13">
        <f xml:space="preserve"> ROUNDUP((ROW()-ROW(F$1))*0.1*首页!$K$2+首页!$K$2,2)</f>
        <v>1.07</v>
      </c>
      <c r="G19" s="12" t="s">
        <v>2460</v>
      </c>
      <c r="H19" s="13">
        <f xml:space="preserve"> ROUND((ROW()-ROW(H$1))*0.1*首页!$I$12+首页!$I$12,2)</f>
        <v>0.28999999999999998</v>
      </c>
      <c r="I19" s="12" t="s">
        <v>2484</v>
      </c>
      <c r="J19" s="13">
        <f xml:space="preserve"> ROUND((ROW()-ROW(J$1))*0.1*首页!$J$12+首页!$J$12,2)</f>
        <v>1.43</v>
      </c>
      <c r="K19" s="4" t="s">
        <v>1767</v>
      </c>
      <c r="L19" s="13">
        <v>0</v>
      </c>
    </row>
    <row r="20" spans="1:12" outlineLevel="1" x14ac:dyDescent="0.3">
      <c r="A20" s="56">
        <v>20</v>
      </c>
      <c r="B20" s="12" t="s">
        <v>1946</v>
      </c>
      <c r="C20" s="12" t="s">
        <v>2317</v>
      </c>
      <c r="D20" s="182">
        <f xml:space="preserve"> ROUND((ROW()-ROW(D$1)-1)*0.1*首页!$J$2+首页!$J$2,2)</f>
        <v>0.32</v>
      </c>
      <c r="E20" s="12" t="s">
        <v>2341</v>
      </c>
      <c r="F20" s="13">
        <f xml:space="preserve"> ROUNDUP((ROW()-ROW(F$1))*0.1*首页!$K$2+首页!$K$2,2)</f>
        <v>1.1100000000000001</v>
      </c>
      <c r="G20" s="12" t="s">
        <v>2461</v>
      </c>
      <c r="H20" s="13">
        <f xml:space="preserve"> ROUND((ROW()-ROW(H$1))*0.1*首页!$I$12+首页!$I$12,2)</f>
        <v>0.3</v>
      </c>
      <c r="I20" s="12" t="s">
        <v>2485</v>
      </c>
      <c r="J20" s="13">
        <f xml:space="preserve"> ROUND((ROW()-ROW(J$1))*0.1*首页!$J$12+首页!$J$12,2)</f>
        <v>1.48</v>
      </c>
      <c r="K20" s="4" t="s">
        <v>1768</v>
      </c>
      <c r="L20" s="13">
        <v>0</v>
      </c>
    </row>
    <row r="21" spans="1:12" outlineLevel="1" x14ac:dyDescent="0.3">
      <c r="A21" s="56">
        <v>21</v>
      </c>
      <c r="B21" s="12" t="s">
        <v>1946</v>
      </c>
      <c r="C21" s="12" t="s">
        <v>2318</v>
      </c>
      <c r="D21" s="182">
        <f xml:space="preserve"> ROUND((ROW()-ROW(D$1)-1)*0.1*首页!$J$2+首页!$J$2,2)</f>
        <v>0.33</v>
      </c>
      <c r="E21" s="12" t="s">
        <v>2342</v>
      </c>
      <c r="F21" s="13">
        <f xml:space="preserve"> ROUNDUP((ROW()-ROW(F$1))*0.1*首页!$K$2+首页!$K$2,2)</f>
        <v>1.1399999999999999</v>
      </c>
      <c r="G21" s="12" t="s">
        <v>2462</v>
      </c>
      <c r="H21" s="13">
        <f xml:space="preserve"> ROUND((ROW()-ROW(H$1))*0.1*首页!$I$12+首页!$I$12,2)</f>
        <v>0.31</v>
      </c>
      <c r="I21" s="12" t="s">
        <v>2486</v>
      </c>
      <c r="J21" s="13">
        <f xml:space="preserve"> ROUND((ROW()-ROW(J$1))*0.1*首页!$J$12+首页!$J$12,2)</f>
        <v>1.53</v>
      </c>
      <c r="K21" s="4" t="s">
        <v>1769</v>
      </c>
      <c r="L21" s="13">
        <v>0</v>
      </c>
    </row>
    <row r="22" spans="1:12" outlineLevel="1" x14ac:dyDescent="0.3">
      <c r="A22" s="56">
        <v>22</v>
      </c>
      <c r="B22" s="12" t="s">
        <v>1946</v>
      </c>
      <c r="C22" s="12" t="s">
        <v>2319</v>
      </c>
      <c r="D22" s="182">
        <f xml:space="preserve"> ROUND((ROW()-ROW(D$1)-1)*0.1*首页!$J$2+首页!$J$2,2)</f>
        <v>0.34</v>
      </c>
      <c r="E22" s="12" t="s">
        <v>2343</v>
      </c>
      <c r="F22" s="13">
        <f xml:space="preserve"> ROUNDUP((ROW()-ROW(F$1))*0.1*首页!$K$2+首页!$K$2,2)</f>
        <v>1.18</v>
      </c>
      <c r="G22" s="12" t="s">
        <v>2463</v>
      </c>
      <c r="H22" s="13">
        <f xml:space="preserve"> ROUND((ROW()-ROW(H$1))*0.1*首页!$I$12+首页!$I$12,2)</f>
        <v>0.32</v>
      </c>
      <c r="I22" s="12" t="s">
        <v>2487</v>
      </c>
      <c r="J22" s="13">
        <f xml:space="preserve"> ROUND((ROW()-ROW(J$1))*0.1*首页!$J$12+首页!$J$12,2)</f>
        <v>1.58</v>
      </c>
      <c r="K22" s="4" t="s">
        <v>1770</v>
      </c>
      <c r="L22" s="13">
        <v>0</v>
      </c>
    </row>
    <row r="23" spans="1:12" outlineLevel="1" x14ac:dyDescent="0.3">
      <c r="A23" s="56">
        <v>23</v>
      </c>
      <c r="B23" s="12" t="s">
        <v>1946</v>
      </c>
      <c r="C23" s="12" t="s">
        <v>2320</v>
      </c>
      <c r="D23" s="182">
        <f xml:space="preserve"> ROUND((ROW()-ROW(D$1)-1)*0.1*首页!$J$2+首页!$J$2,2)</f>
        <v>0.35</v>
      </c>
      <c r="E23" s="12" t="s">
        <v>2344</v>
      </c>
      <c r="F23" s="13">
        <f xml:space="preserve"> ROUNDUP((ROW()-ROW(F$1))*0.1*首页!$K$2+首页!$K$2,2)</f>
        <v>1.22</v>
      </c>
      <c r="G23" s="12" t="s">
        <v>2464</v>
      </c>
      <c r="H23" s="13">
        <f xml:space="preserve"> ROUND((ROW()-ROW(H$1))*0.1*首页!$I$12+首页!$I$12,2)</f>
        <v>0.33</v>
      </c>
      <c r="I23" s="12" t="s">
        <v>2488</v>
      </c>
      <c r="J23" s="13">
        <f xml:space="preserve"> ROUND((ROW()-ROW(J$1))*0.1*首页!$J$12+首页!$J$12,2)</f>
        <v>1.63</v>
      </c>
      <c r="K23" s="4" t="s">
        <v>1771</v>
      </c>
      <c r="L23" s="13">
        <v>0</v>
      </c>
    </row>
    <row r="24" spans="1:12" outlineLevel="1" x14ac:dyDescent="0.3">
      <c r="A24" s="56">
        <v>24</v>
      </c>
      <c r="B24" s="12" t="s">
        <v>1946</v>
      </c>
      <c r="C24" s="12" t="s">
        <v>2321</v>
      </c>
      <c r="D24" s="182">
        <f xml:space="preserve"> ROUND((ROW()-ROW(D$1)-1)*0.1*首页!$J$2+首页!$J$2,2)</f>
        <v>0.36</v>
      </c>
      <c r="E24" s="12" t="s">
        <v>2345</v>
      </c>
      <c r="F24" s="13">
        <f xml:space="preserve"> ROUNDUP((ROW()-ROW(F$1))*0.1*首页!$K$2+首页!$K$2,2)</f>
        <v>1.26</v>
      </c>
      <c r="G24" s="12" t="s">
        <v>2465</v>
      </c>
      <c r="H24" s="13">
        <f xml:space="preserve"> ROUND((ROW()-ROW(H$1))*0.1*首页!$I$12+首页!$I$12,2)</f>
        <v>0.34</v>
      </c>
      <c r="I24" s="12" t="s">
        <v>2489</v>
      </c>
      <c r="J24" s="13">
        <f xml:space="preserve"> ROUND((ROW()-ROW(J$1))*0.1*首页!$J$12+首页!$J$12,2)</f>
        <v>1.68</v>
      </c>
      <c r="K24" s="4" t="s">
        <v>1772</v>
      </c>
      <c r="L24" s="13">
        <v>0</v>
      </c>
    </row>
    <row r="25" spans="1:12" outlineLevel="1" x14ac:dyDescent="0.3">
      <c r="A25" s="56">
        <v>25</v>
      </c>
      <c r="B25" s="23" t="s">
        <v>1946</v>
      </c>
      <c r="C25" s="23" t="s">
        <v>2322</v>
      </c>
      <c r="D25" s="47">
        <f xml:space="preserve"> ROUND((ROW()-ROW(D$1)-1)*0.1*首页!$J$2+首页!$J$2,2)</f>
        <v>0.38</v>
      </c>
      <c r="E25" s="23" t="s">
        <v>2346</v>
      </c>
      <c r="F25" s="24">
        <f xml:space="preserve"> ROUNDUP((ROW()-ROW(F$1))*0.1*首页!$K$2+首页!$K$2,2)</f>
        <v>1.3</v>
      </c>
      <c r="G25" s="23" t="s">
        <v>2466</v>
      </c>
      <c r="H25" s="24">
        <f xml:space="preserve"> ROUND((ROW()-ROW(H$1))*0.1*首页!$I$12+首页!$I$12,2)</f>
        <v>0.35</v>
      </c>
      <c r="I25" s="23" t="s">
        <v>2513</v>
      </c>
      <c r="J25" s="24">
        <f xml:space="preserve"> ROUND((ROW()-ROW(J$1))*0.1*首页!$J$12+首页!$J$12,2)</f>
        <v>1.73</v>
      </c>
      <c r="K25" s="47" t="s">
        <v>1773</v>
      </c>
      <c r="L25" s="24">
        <v>0</v>
      </c>
    </row>
    <row r="27" spans="1:12" outlineLevel="1" x14ac:dyDescent="0.3">
      <c r="A27" s="56" t="s">
        <v>2059</v>
      </c>
      <c r="B27" s="32" t="s">
        <v>1945</v>
      </c>
      <c r="C27" s="53" t="s">
        <v>2589</v>
      </c>
      <c r="D27" s="8" t="s">
        <v>1944</v>
      </c>
      <c r="E27" s="53" t="s">
        <v>2589</v>
      </c>
      <c r="F27" s="8" t="s">
        <v>1944</v>
      </c>
      <c r="G27" s="2" t="s">
        <v>2294</v>
      </c>
      <c r="H27" s="8" t="s">
        <v>1944</v>
      </c>
      <c r="I27" s="2" t="s">
        <v>2297</v>
      </c>
      <c r="J27" s="8" t="s">
        <v>1944</v>
      </c>
      <c r="K27" s="33" t="s">
        <v>203</v>
      </c>
      <c r="L27" s="34" t="s">
        <v>1944</v>
      </c>
    </row>
    <row r="28" spans="1:12" outlineLevel="1" x14ac:dyDescent="0.3">
      <c r="A28" s="56">
        <v>2</v>
      </c>
      <c r="B28" s="54" t="s">
        <v>1947</v>
      </c>
      <c r="C28" s="2" t="s">
        <v>2348</v>
      </c>
      <c r="D28" s="8">
        <f xml:space="preserve"> ROUND((ROW()-ROW(D$27))*0.1*首页!$J$3+首页!$J$3,2)</f>
        <v>0.25</v>
      </c>
      <c r="E28" s="2" t="s">
        <v>2347</v>
      </c>
      <c r="F28" s="8">
        <f xml:space="preserve"> ROUNDUP((ROW()-ROW(F$27))*0.1*首页!$K$3+首页!$K$3,2)</f>
        <v>0.84</v>
      </c>
      <c r="G28" s="2" t="s">
        <v>2490</v>
      </c>
      <c r="H28" s="8">
        <f xml:space="preserve"> ROUND((ROW()-ROW(H$27))*0.1*首页!$I$13+首页!$I$13,2)</f>
        <v>0.22</v>
      </c>
      <c r="I28" s="2" t="s">
        <v>2514</v>
      </c>
      <c r="J28" s="8">
        <f xml:space="preserve"> ROUND((ROW()-ROW(J$27))*0.1*首页!$J$13+首页!$J$13,2)</f>
        <v>1.1200000000000001</v>
      </c>
      <c r="K28" s="53" t="s">
        <v>1846</v>
      </c>
      <c r="L28" s="8">
        <v>0</v>
      </c>
    </row>
    <row r="29" spans="1:12" outlineLevel="1" x14ac:dyDescent="0.3">
      <c r="A29" s="56">
        <v>3</v>
      </c>
      <c r="B29" s="54" t="s">
        <v>1947</v>
      </c>
      <c r="C29" s="14" t="s">
        <v>2349</v>
      </c>
      <c r="D29" s="15">
        <f xml:space="preserve"> ROUND((ROW()-ROW(D$27))*0.1*首页!$J$3+首页!$J$3,2)</f>
        <v>0.27</v>
      </c>
      <c r="E29" s="14" t="s">
        <v>2372</v>
      </c>
      <c r="F29" s="15">
        <f xml:space="preserve"> ROUNDUP((ROW()-ROW(F$27))*0.1*首页!$K$3+首页!$K$3,2)</f>
        <v>0.92</v>
      </c>
      <c r="G29" s="14" t="s">
        <v>2491</v>
      </c>
      <c r="H29" s="15">
        <f xml:space="preserve"> ROUND((ROW()-ROW(H$27))*0.1*首页!$I$13+首页!$I$13,2)</f>
        <v>0.24</v>
      </c>
      <c r="I29" s="14" t="s">
        <v>2515</v>
      </c>
      <c r="J29" s="15">
        <f xml:space="preserve"> ROUND((ROW()-ROW(J$27))*0.1*首页!$J$13+首页!$J$13,2)</f>
        <v>1.22</v>
      </c>
      <c r="K29" s="54" t="s">
        <v>1847</v>
      </c>
      <c r="L29" s="15">
        <v>0</v>
      </c>
    </row>
    <row r="30" spans="1:12" outlineLevel="1" x14ac:dyDescent="0.3">
      <c r="A30" s="56">
        <v>4</v>
      </c>
      <c r="B30" s="54" t="s">
        <v>1947</v>
      </c>
      <c r="C30" s="14" t="s">
        <v>2350</v>
      </c>
      <c r="D30" s="15">
        <f xml:space="preserve"> ROUND((ROW()-ROW(D$27))*0.1*首页!$J$3+首页!$J$3,2)</f>
        <v>0.3</v>
      </c>
      <c r="E30" s="14" t="s">
        <v>2373</v>
      </c>
      <c r="F30" s="15">
        <f xml:space="preserve"> ROUNDUP((ROW()-ROW(F$27))*0.1*首页!$K$3+首页!$K$3,2)</f>
        <v>0.99</v>
      </c>
      <c r="G30" s="14" t="s">
        <v>2492</v>
      </c>
      <c r="H30" s="15">
        <f xml:space="preserve"> ROUND((ROW()-ROW(H$27))*0.1*首页!$I$13+首页!$I$13,2)</f>
        <v>0.26</v>
      </c>
      <c r="I30" s="14" t="s">
        <v>2516</v>
      </c>
      <c r="J30" s="15">
        <f xml:space="preserve"> ROUND((ROW()-ROW(J$27))*0.1*首页!$J$13+首页!$J$13,2)</f>
        <v>1.33</v>
      </c>
      <c r="K30" s="54" t="s">
        <v>1848</v>
      </c>
      <c r="L30" s="15">
        <v>0</v>
      </c>
    </row>
    <row r="31" spans="1:12" outlineLevel="1" x14ac:dyDescent="0.3">
      <c r="A31" s="56">
        <v>5</v>
      </c>
      <c r="B31" s="54" t="s">
        <v>1947</v>
      </c>
      <c r="C31" s="14" t="s">
        <v>2351</v>
      </c>
      <c r="D31" s="15">
        <f xml:space="preserve"> ROUND((ROW()-ROW(D$27))*0.1*首页!$J$3+首页!$J$3,2)</f>
        <v>0.32</v>
      </c>
      <c r="E31" s="14" t="s">
        <v>2374</v>
      </c>
      <c r="F31" s="15">
        <f xml:space="preserve"> ROUNDUP((ROW()-ROW(F$27))*0.1*首页!$K$3+首页!$K$3,2)</f>
        <v>1.07</v>
      </c>
      <c r="G31" s="14" t="s">
        <v>2493</v>
      </c>
      <c r="H31" s="15">
        <f xml:space="preserve"> ROUND((ROW()-ROW(H$27))*0.1*首页!$I$13+首页!$I$13,2)</f>
        <v>0.28000000000000003</v>
      </c>
      <c r="I31" s="14" t="s">
        <v>2517</v>
      </c>
      <c r="J31" s="15">
        <f xml:space="preserve"> ROUND((ROW()-ROW(J$27))*0.1*首页!$J$13+首页!$J$13,2)</f>
        <v>1.43</v>
      </c>
      <c r="K31" s="54" t="s">
        <v>1849</v>
      </c>
      <c r="L31" s="15">
        <v>0</v>
      </c>
    </row>
    <row r="32" spans="1:12" outlineLevel="1" x14ac:dyDescent="0.3">
      <c r="A32" s="56">
        <v>6</v>
      </c>
      <c r="B32" s="54" t="s">
        <v>1947</v>
      </c>
      <c r="C32" s="14" t="s">
        <v>2352</v>
      </c>
      <c r="D32" s="15">
        <f xml:space="preserve"> ROUND((ROW()-ROW(D$27))*0.1*首页!$J$3+首页!$J$3,2)</f>
        <v>0.34</v>
      </c>
      <c r="E32" s="14" t="s">
        <v>2375</v>
      </c>
      <c r="F32" s="15">
        <f xml:space="preserve"> ROUNDUP((ROW()-ROW(F$27))*0.1*首页!$K$3+首页!$K$3,2)</f>
        <v>1.1399999999999999</v>
      </c>
      <c r="G32" s="14" t="s">
        <v>2494</v>
      </c>
      <c r="H32" s="15">
        <f xml:space="preserve"> ROUND((ROW()-ROW(H$27))*0.1*首页!$I$13+首页!$I$13,2)</f>
        <v>0.3</v>
      </c>
      <c r="I32" s="14" t="s">
        <v>2518</v>
      </c>
      <c r="J32" s="15">
        <f xml:space="preserve"> ROUND((ROW()-ROW(J$27))*0.1*首页!$J$13+首页!$J$13,2)</f>
        <v>1.53</v>
      </c>
      <c r="K32" s="54" t="s">
        <v>1850</v>
      </c>
      <c r="L32" s="15">
        <v>0</v>
      </c>
    </row>
    <row r="33" spans="1:12" outlineLevel="1" x14ac:dyDescent="0.3">
      <c r="A33" s="56">
        <v>7</v>
      </c>
      <c r="B33" s="54" t="s">
        <v>1947</v>
      </c>
      <c r="C33" s="14" t="s">
        <v>2353</v>
      </c>
      <c r="D33" s="15">
        <f xml:space="preserve"> ROUND((ROW()-ROW(D$27))*0.1*首页!$J$3+首页!$J$3,2)</f>
        <v>0.36</v>
      </c>
      <c r="E33" s="14" t="s">
        <v>2376</v>
      </c>
      <c r="F33" s="15">
        <f xml:space="preserve"> ROUNDUP((ROW()-ROW(F$27))*0.1*首页!$K$3+首页!$K$3,2)</f>
        <v>1.22</v>
      </c>
      <c r="G33" s="14" t="s">
        <v>2495</v>
      </c>
      <c r="H33" s="15">
        <f xml:space="preserve"> ROUND((ROW()-ROW(H$27))*0.1*首页!$I$13+首页!$I$13,2)</f>
        <v>0.32</v>
      </c>
      <c r="I33" s="14" t="s">
        <v>2519</v>
      </c>
      <c r="J33" s="15">
        <f xml:space="preserve"> ROUND((ROW()-ROW(J$27))*0.1*首页!$J$13+首页!$J$13,2)</f>
        <v>1.63</v>
      </c>
      <c r="K33" s="54" t="s">
        <v>1851</v>
      </c>
      <c r="L33" s="15">
        <v>0</v>
      </c>
    </row>
    <row r="34" spans="1:12" outlineLevel="1" x14ac:dyDescent="0.3">
      <c r="A34" s="56">
        <v>8</v>
      </c>
      <c r="B34" s="54" t="s">
        <v>1947</v>
      </c>
      <c r="C34" s="14" t="s">
        <v>2354</v>
      </c>
      <c r="D34" s="15">
        <f xml:space="preserve"> ROUND((ROW()-ROW(D$27))*0.1*首页!$J$3+首页!$J$3,2)</f>
        <v>0.39</v>
      </c>
      <c r="E34" s="14" t="s">
        <v>2377</v>
      </c>
      <c r="F34" s="15">
        <f xml:space="preserve"> ROUNDUP((ROW()-ROW(F$27))*0.1*首页!$K$3+首页!$K$3,2)</f>
        <v>1.3</v>
      </c>
      <c r="G34" s="14" t="s">
        <v>2496</v>
      </c>
      <c r="H34" s="15">
        <f xml:space="preserve"> ROUND((ROW()-ROW(H$27))*0.1*首页!$I$13+首页!$I$13,2)</f>
        <v>0.35</v>
      </c>
      <c r="I34" s="14" t="s">
        <v>2520</v>
      </c>
      <c r="J34" s="15">
        <f xml:space="preserve"> ROUND((ROW()-ROW(J$27))*0.1*首页!$J$13+首页!$J$13,2)</f>
        <v>1.73</v>
      </c>
      <c r="K34" s="54" t="s">
        <v>1852</v>
      </c>
      <c r="L34" s="15">
        <v>0</v>
      </c>
    </row>
    <row r="35" spans="1:12" outlineLevel="1" x14ac:dyDescent="0.3">
      <c r="A35" s="56">
        <v>9</v>
      </c>
      <c r="B35" s="54" t="s">
        <v>1947</v>
      </c>
      <c r="C35" s="14" t="s">
        <v>2355</v>
      </c>
      <c r="D35" s="15">
        <f xml:space="preserve"> ROUND((ROW()-ROW(D$27))*0.1*首页!$J$3+首页!$J$3,2)</f>
        <v>0.41</v>
      </c>
      <c r="E35" s="14" t="s">
        <v>2378</v>
      </c>
      <c r="F35" s="15">
        <f xml:space="preserve"> ROUNDUP((ROW()-ROW(F$27))*0.1*首页!$K$3+首页!$K$3,2)</f>
        <v>1.37</v>
      </c>
      <c r="G35" s="14" t="s">
        <v>2497</v>
      </c>
      <c r="H35" s="15">
        <f xml:space="preserve"> ROUND((ROW()-ROW(H$27))*0.1*首页!$I$13+首页!$I$13,2)</f>
        <v>0.37</v>
      </c>
      <c r="I35" s="14" t="s">
        <v>2521</v>
      </c>
      <c r="J35" s="15">
        <f xml:space="preserve"> ROUND((ROW()-ROW(J$27))*0.1*首页!$J$13+首页!$J$13,2)</f>
        <v>1.84</v>
      </c>
      <c r="K35" s="54" t="s">
        <v>1853</v>
      </c>
      <c r="L35" s="15">
        <v>0</v>
      </c>
    </row>
    <row r="36" spans="1:12" outlineLevel="1" x14ac:dyDescent="0.3">
      <c r="A36" s="56">
        <v>10</v>
      </c>
      <c r="B36" s="54" t="s">
        <v>1947</v>
      </c>
      <c r="C36" s="14" t="s">
        <v>2356</v>
      </c>
      <c r="D36" s="15">
        <f xml:space="preserve"> ROUND((ROW()-ROW(D$27))*0.1*首页!$J$3+首页!$J$3,2)</f>
        <v>0.43</v>
      </c>
      <c r="E36" s="14" t="s">
        <v>2379</v>
      </c>
      <c r="F36" s="15">
        <f xml:space="preserve"> ROUNDUP((ROW()-ROW(F$27))*0.1*首页!$K$3+首页!$K$3,2)</f>
        <v>1.45</v>
      </c>
      <c r="G36" s="14" t="s">
        <v>2498</v>
      </c>
      <c r="H36" s="15">
        <f xml:space="preserve"> ROUND((ROW()-ROW(H$27))*0.1*首页!$I$13+首页!$I$13,2)</f>
        <v>0.39</v>
      </c>
      <c r="I36" s="14" t="s">
        <v>2522</v>
      </c>
      <c r="J36" s="15">
        <f xml:space="preserve"> ROUND((ROW()-ROW(J$27))*0.1*首页!$J$13+首页!$J$13,2)</f>
        <v>1.94</v>
      </c>
      <c r="K36" s="54" t="s">
        <v>1854</v>
      </c>
      <c r="L36" s="15">
        <v>0</v>
      </c>
    </row>
    <row r="37" spans="1:12" outlineLevel="1" x14ac:dyDescent="0.3">
      <c r="A37" s="56">
        <v>11</v>
      </c>
      <c r="B37" s="54" t="s">
        <v>1947</v>
      </c>
      <c r="C37" s="14" t="s">
        <v>2357</v>
      </c>
      <c r="D37" s="15">
        <f xml:space="preserve"> ROUND((ROW()-ROW(D$27))*0.1*首页!$J$3+首页!$J$3,2)</f>
        <v>0.46</v>
      </c>
      <c r="E37" s="14" t="s">
        <v>2380</v>
      </c>
      <c r="F37" s="15">
        <f xml:space="preserve"> ROUNDUP((ROW()-ROW(F$27))*0.1*首页!$K$3+首页!$K$3,2)</f>
        <v>1.52</v>
      </c>
      <c r="G37" s="14" t="s">
        <v>2499</v>
      </c>
      <c r="H37" s="15">
        <f xml:space="preserve"> ROUND((ROW()-ROW(H$27))*0.1*首页!$I$13+首页!$I$13,2)</f>
        <v>0.41</v>
      </c>
      <c r="I37" s="14" t="s">
        <v>2523</v>
      </c>
      <c r="J37" s="15">
        <f xml:space="preserve"> ROUND((ROW()-ROW(J$27))*0.1*首页!$J$13+首页!$J$13,2)</f>
        <v>2.04</v>
      </c>
      <c r="K37" s="54" t="s">
        <v>1855</v>
      </c>
      <c r="L37" s="15">
        <v>0</v>
      </c>
    </row>
    <row r="38" spans="1:12" outlineLevel="1" x14ac:dyDescent="0.3">
      <c r="A38" s="56">
        <v>12</v>
      </c>
      <c r="B38" s="54" t="s">
        <v>1947</v>
      </c>
      <c r="C38" s="14" t="s">
        <v>2358</v>
      </c>
      <c r="D38" s="15">
        <f xml:space="preserve"> ROUND((ROW()-ROW(D$27))*0.1*首页!$J$3+首页!$J$3,2)</f>
        <v>0.48</v>
      </c>
      <c r="E38" s="14" t="s">
        <v>2381</v>
      </c>
      <c r="F38" s="15">
        <f xml:space="preserve"> ROUNDUP((ROW()-ROW(F$27))*0.1*首页!$K$3+首页!$K$3,2)</f>
        <v>1.6</v>
      </c>
      <c r="G38" s="14" t="s">
        <v>2500</v>
      </c>
      <c r="H38" s="15">
        <f xml:space="preserve"> ROUND((ROW()-ROW(H$27))*0.1*首页!$I$13+首页!$I$13,2)</f>
        <v>0.43</v>
      </c>
      <c r="I38" s="14" t="s">
        <v>2524</v>
      </c>
      <c r="J38" s="15">
        <f xml:space="preserve"> ROUND((ROW()-ROW(J$27))*0.1*首页!$J$13+首页!$J$13,2)</f>
        <v>2.14</v>
      </c>
      <c r="K38" s="54" t="s">
        <v>1856</v>
      </c>
      <c r="L38" s="15">
        <v>0</v>
      </c>
    </row>
    <row r="39" spans="1:12" outlineLevel="1" x14ac:dyDescent="0.3">
      <c r="A39" s="56">
        <v>13</v>
      </c>
      <c r="B39" s="54" t="s">
        <v>1947</v>
      </c>
      <c r="C39" s="14" t="s">
        <v>2359</v>
      </c>
      <c r="D39" s="15">
        <f xml:space="preserve"> ROUND((ROW()-ROW(D$27))*0.1*首页!$J$3+首页!$J$3,2)</f>
        <v>0.5</v>
      </c>
      <c r="E39" s="14" t="s">
        <v>2382</v>
      </c>
      <c r="F39" s="15">
        <f xml:space="preserve"> ROUNDUP((ROW()-ROW(F$27))*0.1*首页!$K$3+首页!$K$3,2)</f>
        <v>1.68</v>
      </c>
      <c r="G39" s="14" t="s">
        <v>2501</v>
      </c>
      <c r="H39" s="15">
        <f xml:space="preserve"> ROUND((ROW()-ROW(H$27))*0.1*首页!$I$13+首页!$I$13,2)</f>
        <v>0.45</v>
      </c>
      <c r="I39" s="14" t="s">
        <v>2525</v>
      </c>
      <c r="J39" s="15">
        <f xml:space="preserve"> ROUND((ROW()-ROW(J$27))*0.1*首页!$J$13+首页!$J$13,2)</f>
        <v>2.2400000000000002</v>
      </c>
      <c r="K39" s="54" t="s">
        <v>1857</v>
      </c>
      <c r="L39" s="15">
        <v>0</v>
      </c>
    </row>
    <row r="40" spans="1:12" outlineLevel="1" x14ac:dyDescent="0.3">
      <c r="A40" s="56">
        <v>14</v>
      </c>
      <c r="B40" s="54" t="s">
        <v>1947</v>
      </c>
      <c r="C40" s="14" t="s">
        <v>2360</v>
      </c>
      <c r="D40" s="15">
        <f xml:space="preserve"> ROUND((ROW()-ROW(D$27))*0.1*首页!$J$3+首页!$J$3,2)</f>
        <v>0.52</v>
      </c>
      <c r="E40" s="14" t="s">
        <v>2383</v>
      </c>
      <c r="F40" s="15">
        <f xml:space="preserve"> ROUNDUP((ROW()-ROW(F$27))*0.1*首页!$K$3+首页!$K$3,2)</f>
        <v>1.75</v>
      </c>
      <c r="G40" s="14" t="s">
        <v>2502</v>
      </c>
      <c r="H40" s="15">
        <f xml:space="preserve"> ROUND((ROW()-ROW(H$27))*0.1*首页!$I$13+首页!$I$13,2)</f>
        <v>0.47</v>
      </c>
      <c r="I40" s="14" t="s">
        <v>2526</v>
      </c>
      <c r="J40" s="15">
        <f xml:space="preserve"> ROUND((ROW()-ROW(J$27))*0.1*首页!$J$13+首页!$J$13,2)</f>
        <v>2.35</v>
      </c>
      <c r="K40" s="54" t="s">
        <v>1858</v>
      </c>
      <c r="L40" s="15">
        <v>0</v>
      </c>
    </row>
    <row r="41" spans="1:12" outlineLevel="1" x14ac:dyDescent="0.3">
      <c r="A41" s="56">
        <v>15</v>
      </c>
      <c r="B41" s="54" t="s">
        <v>1947</v>
      </c>
      <c r="C41" s="14" t="s">
        <v>2361</v>
      </c>
      <c r="D41" s="15">
        <f xml:space="preserve"> ROUND((ROW()-ROW(D$27))*0.1*首页!$J$3+首页!$J$3,2)</f>
        <v>0.55000000000000004</v>
      </c>
      <c r="E41" s="14" t="s">
        <v>2384</v>
      </c>
      <c r="F41" s="15">
        <f xml:space="preserve"> ROUNDUP((ROW()-ROW(F$27))*0.1*首页!$K$3+首页!$K$3,2)</f>
        <v>1.83</v>
      </c>
      <c r="G41" s="14" t="s">
        <v>2503</v>
      </c>
      <c r="H41" s="15">
        <f xml:space="preserve"> ROUND((ROW()-ROW(H$27))*0.1*首页!$I$13+首页!$I$13,2)</f>
        <v>0.49</v>
      </c>
      <c r="I41" s="14" t="s">
        <v>2527</v>
      </c>
      <c r="J41" s="15">
        <f xml:space="preserve"> ROUND((ROW()-ROW(J$27))*0.1*首页!$J$13+首页!$J$13,2)</f>
        <v>2.4500000000000002</v>
      </c>
      <c r="K41" s="54" t="s">
        <v>1859</v>
      </c>
      <c r="L41" s="15">
        <v>0</v>
      </c>
    </row>
    <row r="42" spans="1:12" outlineLevel="1" x14ac:dyDescent="0.3">
      <c r="A42" s="56">
        <v>16</v>
      </c>
      <c r="B42" s="54" t="s">
        <v>1947</v>
      </c>
      <c r="C42" s="14" t="s">
        <v>2362</v>
      </c>
      <c r="D42" s="15">
        <f xml:space="preserve"> ROUND((ROW()-ROW(D$27))*0.1*首页!$J$3+首页!$J$3,2)</f>
        <v>0.56999999999999995</v>
      </c>
      <c r="E42" s="14" t="s">
        <v>2385</v>
      </c>
      <c r="F42" s="15">
        <f xml:space="preserve"> ROUNDUP((ROW()-ROW(F$27))*0.1*首页!$K$3+首页!$K$3,2)</f>
        <v>1.9</v>
      </c>
      <c r="G42" s="14" t="s">
        <v>2504</v>
      </c>
      <c r="H42" s="15">
        <f xml:space="preserve"> ROUND((ROW()-ROW(H$27))*0.1*首页!$I$13+首页!$I$13,2)</f>
        <v>0.51</v>
      </c>
      <c r="I42" s="14" t="s">
        <v>2528</v>
      </c>
      <c r="J42" s="15">
        <f xml:space="preserve"> ROUND((ROW()-ROW(J$27))*0.1*首页!$J$13+首页!$J$13,2)</f>
        <v>2.5499999999999998</v>
      </c>
      <c r="K42" s="54" t="s">
        <v>1860</v>
      </c>
      <c r="L42" s="15">
        <v>0</v>
      </c>
    </row>
    <row r="43" spans="1:12" outlineLevel="1" x14ac:dyDescent="0.3">
      <c r="A43" s="56">
        <v>17</v>
      </c>
      <c r="B43" s="54" t="s">
        <v>1947</v>
      </c>
      <c r="C43" s="14" t="s">
        <v>2363</v>
      </c>
      <c r="D43" s="15">
        <f xml:space="preserve"> ROUND((ROW()-ROW(D$27))*0.1*首页!$J$3+首页!$J$3,2)</f>
        <v>0.59</v>
      </c>
      <c r="E43" s="14" t="s">
        <v>2386</v>
      </c>
      <c r="F43" s="15">
        <f xml:space="preserve"> ROUNDUP((ROW()-ROW(F$27))*0.1*首页!$K$3+首页!$K$3,2)</f>
        <v>1.98</v>
      </c>
      <c r="G43" s="14" t="s">
        <v>2505</v>
      </c>
      <c r="H43" s="15">
        <f xml:space="preserve"> ROUND((ROW()-ROW(H$27))*0.1*首页!$I$13+首页!$I$13,2)</f>
        <v>0.53</v>
      </c>
      <c r="I43" s="14" t="s">
        <v>2529</v>
      </c>
      <c r="J43" s="15">
        <f xml:space="preserve"> ROUND((ROW()-ROW(J$27))*0.1*首页!$J$13+首页!$J$13,2)</f>
        <v>2.65</v>
      </c>
      <c r="K43" s="54" t="s">
        <v>1861</v>
      </c>
      <c r="L43" s="15">
        <v>0</v>
      </c>
    </row>
    <row r="44" spans="1:12" outlineLevel="1" x14ac:dyDescent="0.3">
      <c r="A44" s="56">
        <v>18</v>
      </c>
      <c r="B44" s="54" t="s">
        <v>1947</v>
      </c>
      <c r="C44" s="14" t="s">
        <v>2364</v>
      </c>
      <c r="D44" s="15">
        <f xml:space="preserve"> ROUND((ROW()-ROW(D$27))*0.1*首页!$J$3+首页!$J$3,2)</f>
        <v>0.62</v>
      </c>
      <c r="E44" s="14" t="s">
        <v>2387</v>
      </c>
      <c r="F44" s="15">
        <f xml:space="preserve"> ROUNDUP((ROW()-ROW(F$27))*0.1*首页!$K$3+首页!$K$3,2)</f>
        <v>2.0599999999999996</v>
      </c>
      <c r="G44" s="14" t="s">
        <v>2506</v>
      </c>
      <c r="H44" s="15">
        <f xml:space="preserve"> ROUND((ROW()-ROW(H$27))*0.1*首页!$I$13+首页!$I$13,2)</f>
        <v>0.55000000000000004</v>
      </c>
      <c r="I44" s="14" t="s">
        <v>2530</v>
      </c>
      <c r="J44" s="15">
        <f xml:space="preserve"> ROUND((ROW()-ROW(J$27))*0.1*首页!$J$13+首页!$J$13,2)</f>
        <v>2.75</v>
      </c>
      <c r="K44" s="54" t="s">
        <v>1862</v>
      </c>
      <c r="L44" s="15">
        <v>0</v>
      </c>
    </row>
    <row r="45" spans="1:12" outlineLevel="1" x14ac:dyDescent="0.3">
      <c r="A45" s="56">
        <v>19</v>
      </c>
      <c r="B45" s="54" t="s">
        <v>1947</v>
      </c>
      <c r="C45" s="14" t="s">
        <v>2365</v>
      </c>
      <c r="D45" s="15">
        <f xml:space="preserve"> ROUND((ROW()-ROW(D$27))*0.1*首页!$J$3+首页!$J$3,2)</f>
        <v>0.64</v>
      </c>
      <c r="E45" s="14" t="s">
        <v>2388</v>
      </c>
      <c r="F45" s="15">
        <f xml:space="preserve"> ROUNDUP((ROW()-ROW(F$27))*0.1*首页!$K$3+首页!$K$3,2)</f>
        <v>2.13</v>
      </c>
      <c r="G45" s="14" t="s">
        <v>2507</v>
      </c>
      <c r="H45" s="15">
        <f xml:space="preserve"> ROUND((ROW()-ROW(H$27))*0.1*首页!$I$13+首页!$I$13,2)</f>
        <v>0.56999999999999995</v>
      </c>
      <c r="I45" s="14" t="s">
        <v>2531</v>
      </c>
      <c r="J45" s="15">
        <f xml:space="preserve"> ROUND((ROW()-ROW(J$27))*0.1*首页!$J$13+首页!$J$13,2)</f>
        <v>2.86</v>
      </c>
      <c r="K45" s="54" t="s">
        <v>1863</v>
      </c>
      <c r="L45" s="15">
        <v>0</v>
      </c>
    </row>
    <row r="46" spans="1:12" outlineLevel="1" x14ac:dyDescent="0.3">
      <c r="A46" s="56">
        <v>20</v>
      </c>
      <c r="B46" s="54" t="s">
        <v>1947</v>
      </c>
      <c r="C46" s="14" t="s">
        <v>2366</v>
      </c>
      <c r="D46" s="15">
        <f xml:space="preserve"> ROUND((ROW()-ROW(D$27))*0.1*首页!$J$3+首页!$J$3,2)</f>
        <v>0.66</v>
      </c>
      <c r="E46" s="14" t="s">
        <v>2389</v>
      </c>
      <c r="F46" s="15">
        <f xml:space="preserve"> ROUNDUP((ROW()-ROW(F$27))*0.1*首页!$K$3+首页!$K$3,2)</f>
        <v>2.21</v>
      </c>
      <c r="G46" s="14" t="s">
        <v>2508</v>
      </c>
      <c r="H46" s="15">
        <f xml:space="preserve"> ROUND((ROW()-ROW(H$27))*0.1*首页!$I$13+首页!$I$13,2)</f>
        <v>0.59</v>
      </c>
      <c r="I46" s="14" t="s">
        <v>2532</v>
      </c>
      <c r="J46" s="15">
        <f xml:space="preserve"> ROUND((ROW()-ROW(J$27))*0.1*首页!$J$13+首页!$J$13,2)</f>
        <v>2.96</v>
      </c>
      <c r="K46" s="54" t="s">
        <v>1864</v>
      </c>
      <c r="L46" s="15">
        <v>0</v>
      </c>
    </row>
    <row r="47" spans="1:12" outlineLevel="1" x14ac:dyDescent="0.3">
      <c r="A47" s="56">
        <v>21</v>
      </c>
      <c r="B47" s="54" t="s">
        <v>1947</v>
      </c>
      <c r="C47" s="14" t="s">
        <v>2367</v>
      </c>
      <c r="D47" s="15">
        <f xml:space="preserve"> ROUND((ROW()-ROW(D$27))*0.1*首页!$J$3+首页!$J$3,2)</f>
        <v>0.68</v>
      </c>
      <c r="E47" s="14" t="s">
        <v>2390</v>
      </c>
      <c r="F47" s="15">
        <f xml:space="preserve"> ROUNDUP((ROW()-ROW(F$27))*0.1*首页!$K$3+首页!$K$3,2)</f>
        <v>2.2799999999999998</v>
      </c>
      <c r="G47" s="14" t="s">
        <v>2509</v>
      </c>
      <c r="H47" s="15">
        <f xml:space="preserve"> ROUND((ROW()-ROW(H$27))*0.1*首页!$I$13+首页!$I$13,2)</f>
        <v>0.61</v>
      </c>
      <c r="I47" s="14" t="s">
        <v>2533</v>
      </c>
      <c r="J47" s="15">
        <f xml:space="preserve"> ROUND((ROW()-ROW(J$27))*0.1*首页!$J$13+首页!$J$13,2)</f>
        <v>3.06</v>
      </c>
      <c r="K47" s="54" t="s">
        <v>1865</v>
      </c>
      <c r="L47" s="15">
        <v>0</v>
      </c>
    </row>
    <row r="48" spans="1:12" outlineLevel="1" x14ac:dyDescent="0.3">
      <c r="A48" s="56">
        <v>22</v>
      </c>
      <c r="B48" s="54" t="s">
        <v>1947</v>
      </c>
      <c r="C48" s="14" t="s">
        <v>2368</v>
      </c>
      <c r="D48" s="15">
        <f xml:space="preserve"> ROUND((ROW()-ROW(D$27))*0.1*首页!$J$3+首页!$J$3,2)</f>
        <v>0.71</v>
      </c>
      <c r="E48" s="14" t="s">
        <v>2391</v>
      </c>
      <c r="F48" s="15">
        <f xml:space="preserve"> ROUNDUP((ROW()-ROW(F$27))*0.1*首页!$K$3+首页!$K$3,2)</f>
        <v>2.36</v>
      </c>
      <c r="G48" s="14" t="s">
        <v>2510</v>
      </c>
      <c r="H48" s="15">
        <f xml:space="preserve"> ROUND((ROW()-ROW(H$27))*0.1*首页!$I$13+首页!$I$13,2)</f>
        <v>0.63</v>
      </c>
      <c r="I48" s="14" t="s">
        <v>2534</v>
      </c>
      <c r="J48" s="15">
        <f xml:space="preserve"> ROUND((ROW()-ROW(J$27))*0.1*首页!$J$13+首页!$J$13,2)</f>
        <v>3.16</v>
      </c>
      <c r="K48" s="54" t="s">
        <v>1866</v>
      </c>
      <c r="L48" s="15">
        <v>0</v>
      </c>
    </row>
    <row r="49" spans="1:12" outlineLevel="1" x14ac:dyDescent="0.3">
      <c r="A49" s="56">
        <v>23</v>
      </c>
      <c r="B49" s="54" t="s">
        <v>1947</v>
      </c>
      <c r="C49" s="14" t="s">
        <v>2369</v>
      </c>
      <c r="D49" s="15">
        <f xml:space="preserve"> ROUND((ROW()-ROW(D$27))*0.1*首页!$J$3+首页!$J$3,2)</f>
        <v>0.73</v>
      </c>
      <c r="E49" s="14" t="s">
        <v>2392</v>
      </c>
      <c r="F49" s="15">
        <f xml:space="preserve"> ROUNDUP((ROW()-ROW(F$27))*0.1*首页!$K$3+首页!$K$3,2)</f>
        <v>2.44</v>
      </c>
      <c r="G49" s="14" t="s">
        <v>2511</v>
      </c>
      <c r="H49" s="15">
        <f xml:space="preserve"> ROUND((ROW()-ROW(H$27))*0.1*首页!$I$13+首页!$I$13,2)</f>
        <v>0.65</v>
      </c>
      <c r="I49" s="14" t="s">
        <v>2535</v>
      </c>
      <c r="J49" s="15">
        <f xml:space="preserve"> ROUND((ROW()-ROW(J$27))*0.1*首页!$J$13+首页!$J$13,2)</f>
        <v>3.26</v>
      </c>
      <c r="K49" s="54" t="s">
        <v>1867</v>
      </c>
      <c r="L49" s="15">
        <v>0</v>
      </c>
    </row>
    <row r="50" spans="1:12" outlineLevel="1" x14ac:dyDescent="0.3">
      <c r="A50" s="56">
        <v>24</v>
      </c>
      <c r="B50" s="54" t="s">
        <v>1947</v>
      </c>
      <c r="C50" s="14" t="s">
        <v>2370</v>
      </c>
      <c r="D50" s="15">
        <f xml:space="preserve"> ROUND((ROW()-ROW(D$27))*0.1*首页!$J$3+首页!$J$3,2)</f>
        <v>0.75</v>
      </c>
      <c r="E50" s="14" t="s">
        <v>2393</v>
      </c>
      <c r="F50" s="15">
        <f xml:space="preserve"> ROUNDUP((ROW()-ROW(F$27))*0.1*首页!$K$3+首页!$K$3,2)</f>
        <v>2.5099999999999998</v>
      </c>
      <c r="G50" s="14" t="s">
        <v>2512</v>
      </c>
      <c r="H50" s="15">
        <f xml:space="preserve"> ROUND((ROW()-ROW(H$27))*0.1*首页!$I$13+首页!$I$13,2)</f>
        <v>0.67</v>
      </c>
      <c r="I50" s="14" t="s">
        <v>2536</v>
      </c>
      <c r="J50" s="15">
        <f xml:space="preserve"> ROUND((ROW()-ROW(J$27))*0.1*首页!$J$13+首页!$J$13,2)</f>
        <v>3.37</v>
      </c>
      <c r="K50" s="54" t="s">
        <v>1868</v>
      </c>
      <c r="L50" s="15">
        <v>0</v>
      </c>
    </row>
    <row r="51" spans="1:12" outlineLevel="1" x14ac:dyDescent="0.3">
      <c r="A51" s="56">
        <v>25</v>
      </c>
      <c r="B51" s="55" t="s">
        <v>1947</v>
      </c>
      <c r="C51" s="25" t="s">
        <v>2371</v>
      </c>
      <c r="D51" s="26">
        <f xml:space="preserve"> ROUND((ROW()-ROW(D$27))*0.1*首页!$J$3+首页!$J$3,2)</f>
        <v>0.78</v>
      </c>
      <c r="E51" s="25" t="s">
        <v>2394</v>
      </c>
      <c r="F51" s="26">
        <f xml:space="preserve"> ROUNDUP((ROW()-ROW(F$27))*0.1*首页!$K$3+首页!$K$3,2)</f>
        <v>2.59</v>
      </c>
      <c r="G51" s="25" t="s">
        <v>2562</v>
      </c>
      <c r="H51" s="26">
        <f xml:space="preserve"> ROUND((ROW()-ROW(H$27))*0.1*首页!$I$13+首页!$I$13,2)</f>
        <v>0.69</v>
      </c>
      <c r="I51" s="25" t="s">
        <v>2537</v>
      </c>
      <c r="J51" s="26">
        <f xml:space="preserve"> ROUND((ROW()-ROW(J$27))*0.1*首页!$J$13+首页!$J$13,2)</f>
        <v>3.47</v>
      </c>
      <c r="K51" s="55" t="s">
        <v>1869</v>
      </c>
      <c r="L51" s="26">
        <v>1</v>
      </c>
    </row>
    <row r="53" spans="1:12" outlineLevel="1" x14ac:dyDescent="0.3">
      <c r="A53" s="56" t="s">
        <v>2059</v>
      </c>
      <c r="B53" s="35" t="s">
        <v>1945</v>
      </c>
      <c r="C53" s="169" t="s">
        <v>2590</v>
      </c>
      <c r="D53" s="170" t="s">
        <v>1944</v>
      </c>
      <c r="E53" s="169" t="s">
        <v>2590</v>
      </c>
      <c r="F53" s="170" t="s">
        <v>1944</v>
      </c>
      <c r="G53" s="84" t="s">
        <v>2295</v>
      </c>
      <c r="H53" s="85" t="s">
        <v>1944</v>
      </c>
      <c r="I53" s="84" t="s">
        <v>2298</v>
      </c>
      <c r="J53" s="85" t="s">
        <v>1944</v>
      </c>
      <c r="K53" s="36" t="s">
        <v>203</v>
      </c>
      <c r="L53" s="37" t="s">
        <v>1944</v>
      </c>
    </row>
    <row r="54" spans="1:12" outlineLevel="1" x14ac:dyDescent="0.3">
      <c r="A54" s="56">
        <v>2</v>
      </c>
      <c r="B54" s="183" t="s">
        <v>1948</v>
      </c>
      <c r="C54" s="169" t="s">
        <v>2395</v>
      </c>
      <c r="D54" s="170">
        <f xml:space="preserve">  ROUND((ROW()-ROW(D$53))*0.1*首页!$J$4+首页!$J$4,2)</f>
        <v>0.5</v>
      </c>
      <c r="E54" s="169" t="s">
        <v>2420</v>
      </c>
      <c r="F54" s="170">
        <f xml:space="preserve"> ROUNDUP((ROW()-ROW(F$53))*0.1*首页!$K$4+首页!$K$4,2)</f>
        <v>1.68</v>
      </c>
      <c r="G54" s="84" t="s">
        <v>2563</v>
      </c>
      <c r="H54" s="85">
        <f>ROUND((ROW()-ROW(H$53))*0.1*首页!$I$14+首页!$I$14,2)</f>
        <v>0.45</v>
      </c>
      <c r="I54" s="84" t="s">
        <v>2538</v>
      </c>
      <c r="J54" s="85">
        <f xml:space="preserve"> ROUND((ROW()-ROW(J$53))*0.1*首页!$J$14+首页!$J$14,2)</f>
        <v>2.23</v>
      </c>
      <c r="K54" s="183" t="s">
        <v>1870</v>
      </c>
      <c r="L54" s="39">
        <v>0</v>
      </c>
    </row>
    <row r="55" spans="1:12" outlineLevel="1" x14ac:dyDescent="0.3">
      <c r="A55" s="56">
        <v>3</v>
      </c>
      <c r="B55" s="183" t="s">
        <v>1948</v>
      </c>
      <c r="C55" s="40" t="s">
        <v>2396</v>
      </c>
      <c r="D55" s="39">
        <f xml:space="preserve">  ROUND((ROW()-ROW(D$53))*0.1*首页!$J$4+首页!$J$4,2)</f>
        <v>0.55000000000000004</v>
      </c>
      <c r="E55" s="40" t="s">
        <v>2421</v>
      </c>
      <c r="F55" s="39">
        <f xml:space="preserve"> ROUNDUP((ROW()-ROW(F$53))*0.1*首页!$K$4+首页!$K$4,2)</f>
        <v>1.83</v>
      </c>
      <c r="G55" s="90" t="s">
        <v>2564</v>
      </c>
      <c r="H55" s="93">
        <f>ROUND((ROW()-ROW(H$53))*0.1*首页!$I$14+首页!$I$14,2)</f>
        <v>0.49</v>
      </c>
      <c r="I55" s="90" t="s">
        <v>2539</v>
      </c>
      <c r="J55" s="93">
        <f xml:space="preserve"> ROUND((ROW()-ROW(J$53))*0.1*首页!$J$14+首页!$J$14,2)</f>
        <v>2.44</v>
      </c>
      <c r="K55" s="183" t="s">
        <v>1871</v>
      </c>
      <c r="L55" s="39">
        <v>0</v>
      </c>
    </row>
    <row r="56" spans="1:12" outlineLevel="1" x14ac:dyDescent="0.3">
      <c r="A56" s="56">
        <v>4</v>
      </c>
      <c r="B56" s="183" t="s">
        <v>1948</v>
      </c>
      <c r="C56" s="40" t="s">
        <v>2397</v>
      </c>
      <c r="D56" s="39">
        <f xml:space="preserve">  ROUND((ROW()-ROW(D$53))*0.1*首页!$J$4+首页!$J$4,2)</f>
        <v>0.59</v>
      </c>
      <c r="E56" s="40" t="s">
        <v>2422</v>
      </c>
      <c r="F56" s="39">
        <f xml:space="preserve"> ROUNDUP((ROW()-ROW(F$53))*0.1*首页!$K$4+首页!$K$4,2)</f>
        <v>1.98</v>
      </c>
      <c r="G56" s="90" t="s">
        <v>2565</v>
      </c>
      <c r="H56" s="93">
        <f>ROUND((ROW()-ROW(H$53))*0.1*首页!$I$14+首页!$I$14,2)</f>
        <v>0.53</v>
      </c>
      <c r="I56" s="90" t="s">
        <v>2540</v>
      </c>
      <c r="J56" s="93">
        <f xml:space="preserve"> ROUND((ROW()-ROW(J$53))*0.1*首页!$J$14+首页!$J$14,2)</f>
        <v>2.64</v>
      </c>
      <c r="K56" s="183" t="s">
        <v>1872</v>
      </c>
      <c r="L56" s="39">
        <v>0</v>
      </c>
    </row>
    <row r="57" spans="1:12" outlineLevel="1" x14ac:dyDescent="0.3">
      <c r="A57" s="56">
        <v>5</v>
      </c>
      <c r="B57" s="183" t="s">
        <v>1948</v>
      </c>
      <c r="C57" s="40" t="s">
        <v>2398</v>
      </c>
      <c r="D57" s="39">
        <f xml:space="preserve">  ROUND((ROW()-ROW(D$53))*0.1*首页!$J$4+首页!$J$4,2)</f>
        <v>0.64</v>
      </c>
      <c r="E57" s="40" t="s">
        <v>2423</v>
      </c>
      <c r="F57" s="39">
        <f xml:space="preserve"> ROUNDUP((ROW()-ROW(F$53))*0.1*首页!$K$4+首页!$K$4,2)</f>
        <v>2.13</v>
      </c>
      <c r="G57" s="90" t="s">
        <v>2566</v>
      </c>
      <c r="H57" s="93">
        <f>ROUND((ROW()-ROW(H$53))*0.1*首页!$I$14+首页!$I$14,2)</f>
        <v>0.56999999999999995</v>
      </c>
      <c r="I57" s="90" t="s">
        <v>2541</v>
      </c>
      <c r="J57" s="93">
        <f xml:space="preserve"> ROUND((ROW()-ROW(J$53))*0.1*首页!$J$14+首页!$J$14,2)</f>
        <v>2.84</v>
      </c>
      <c r="K57" s="183" t="s">
        <v>1873</v>
      </c>
      <c r="L57" s="39">
        <v>0</v>
      </c>
    </row>
    <row r="58" spans="1:12" outlineLevel="1" x14ac:dyDescent="0.3">
      <c r="A58" s="56">
        <v>6</v>
      </c>
      <c r="B58" s="183" t="s">
        <v>1948</v>
      </c>
      <c r="C58" s="40" t="s">
        <v>2399</v>
      </c>
      <c r="D58" s="39">
        <f xml:space="preserve">  ROUND((ROW()-ROW(D$53))*0.1*首页!$J$4+首页!$J$4,2)</f>
        <v>0.68</v>
      </c>
      <c r="E58" s="40" t="s">
        <v>2424</v>
      </c>
      <c r="F58" s="39">
        <f xml:space="preserve"> ROUNDUP((ROW()-ROW(F$53))*0.1*首页!$K$4+首页!$K$4,2)</f>
        <v>2.2799999999999998</v>
      </c>
      <c r="G58" s="90" t="s">
        <v>2567</v>
      </c>
      <c r="H58" s="93">
        <f>ROUND((ROW()-ROW(H$53))*0.1*首页!$I$14+首页!$I$14,2)</f>
        <v>0.61</v>
      </c>
      <c r="I58" s="90" t="s">
        <v>2542</v>
      </c>
      <c r="J58" s="93">
        <f xml:space="preserve"> ROUND((ROW()-ROW(J$53))*0.1*首页!$J$14+首页!$J$14,2)</f>
        <v>3.05</v>
      </c>
      <c r="K58" s="183" t="s">
        <v>1874</v>
      </c>
      <c r="L58" s="39">
        <v>0</v>
      </c>
    </row>
    <row r="59" spans="1:12" outlineLevel="1" x14ac:dyDescent="0.3">
      <c r="A59" s="56">
        <v>7</v>
      </c>
      <c r="B59" s="183" t="s">
        <v>1948</v>
      </c>
      <c r="C59" s="40" t="s">
        <v>2400</v>
      </c>
      <c r="D59" s="39">
        <f xml:space="preserve">  ROUND((ROW()-ROW(D$53))*0.1*首页!$J$4+首页!$J$4,2)</f>
        <v>0.73</v>
      </c>
      <c r="E59" s="40" t="s">
        <v>2425</v>
      </c>
      <c r="F59" s="39">
        <f xml:space="preserve"> ROUNDUP((ROW()-ROW(F$53))*0.1*首页!$K$4+首页!$K$4,2)</f>
        <v>2.44</v>
      </c>
      <c r="G59" s="90" t="s">
        <v>2568</v>
      </c>
      <c r="H59" s="93">
        <f>ROUND((ROW()-ROW(H$53))*0.1*首页!$I$14+首页!$I$14,2)</f>
        <v>0.65</v>
      </c>
      <c r="I59" s="90" t="s">
        <v>2543</v>
      </c>
      <c r="J59" s="93">
        <f xml:space="preserve"> ROUND((ROW()-ROW(J$53))*0.1*首页!$J$14+首页!$J$14,2)</f>
        <v>3.25</v>
      </c>
      <c r="K59" s="183" t="s">
        <v>1875</v>
      </c>
      <c r="L59" s="39">
        <v>0</v>
      </c>
    </row>
    <row r="60" spans="1:12" outlineLevel="1" x14ac:dyDescent="0.3">
      <c r="A60" s="56">
        <v>8</v>
      </c>
      <c r="B60" s="183" t="s">
        <v>1948</v>
      </c>
      <c r="C60" s="40" t="s">
        <v>2401</v>
      </c>
      <c r="D60" s="39">
        <f xml:space="preserve">  ROUND((ROW()-ROW(D$53))*0.1*首页!$J$4+首页!$J$4,2)</f>
        <v>0.78</v>
      </c>
      <c r="E60" s="40" t="s">
        <v>2426</v>
      </c>
      <c r="F60" s="39">
        <f xml:space="preserve"> ROUNDUP((ROW()-ROW(F$53))*0.1*首页!$K$4+首页!$K$4,2)</f>
        <v>2.59</v>
      </c>
      <c r="G60" s="90" t="s">
        <v>2569</v>
      </c>
      <c r="H60" s="93">
        <f>ROUND((ROW()-ROW(H$53))*0.1*首页!$I$14+首页!$I$14,2)</f>
        <v>0.69</v>
      </c>
      <c r="I60" s="90" t="s">
        <v>2544</v>
      </c>
      <c r="J60" s="93">
        <f xml:space="preserve"> ROUND((ROW()-ROW(J$53))*0.1*首页!$J$14+首页!$J$14,2)</f>
        <v>3.45</v>
      </c>
      <c r="K60" s="183" t="s">
        <v>1876</v>
      </c>
      <c r="L60" s="39">
        <v>0</v>
      </c>
    </row>
    <row r="61" spans="1:12" outlineLevel="1" x14ac:dyDescent="0.3">
      <c r="A61" s="56">
        <v>9</v>
      </c>
      <c r="B61" s="183" t="s">
        <v>1948</v>
      </c>
      <c r="C61" s="40" t="s">
        <v>2402</v>
      </c>
      <c r="D61" s="39">
        <f xml:space="preserve">  ROUND((ROW()-ROW(D$53))*0.1*首页!$J$4+首页!$J$4,2)</f>
        <v>0.82</v>
      </c>
      <c r="E61" s="40" t="s">
        <v>2427</v>
      </c>
      <c r="F61" s="39">
        <f xml:space="preserve"> ROUNDUP((ROW()-ROW(F$53))*0.1*首页!$K$4+首页!$K$4,2)</f>
        <v>2.7399999999999998</v>
      </c>
      <c r="G61" s="90" t="s">
        <v>2570</v>
      </c>
      <c r="H61" s="93">
        <f>ROUND((ROW()-ROW(H$53))*0.1*首页!$I$14+首页!$I$14,2)</f>
        <v>0.73</v>
      </c>
      <c r="I61" s="90" t="s">
        <v>2545</v>
      </c>
      <c r="J61" s="93">
        <f xml:space="preserve"> ROUND((ROW()-ROW(J$53))*0.1*首页!$J$14+首页!$J$14,2)</f>
        <v>3.65</v>
      </c>
      <c r="K61" s="183" t="s">
        <v>1877</v>
      </c>
      <c r="L61" s="39">
        <v>0</v>
      </c>
    </row>
    <row r="62" spans="1:12" outlineLevel="1" x14ac:dyDescent="0.3">
      <c r="A62" s="56">
        <v>10</v>
      </c>
      <c r="B62" s="183" t="s">
        <v>1948</v>
      </c>
      <c r="C62" s="40" t="s">
        <v>2403</v>
      </c>
      <c r="D62" s="39">
        <f xml:space="preserve">  ROUND((ROW()-ROW(D$53))*0.1*首页!$J$4+首页!$J$4,2)</f>
        <v>0.87</v>
      </c>
      <c r="E62" s="40" t="s">
        <v>2428</v>
      </c>
      <c r="F62" s="39">
        <f xml:space="preserve"> ROUNDUP((ROW()-ROW(F$53))*0.1*首页!$K$4+首页!$K$4,2)</f>
        <v>2.8899999999999997</v>
      </c>
      <c r="G62" s="90" t="s">
        <v>2571</v>
      </c>
      <c r="H62" s="93">
        <f>ROUND((ROW()-ROW(H$53))*0.1*首页!$I$14+首页!$I$14,2)</f>
        <v>0.77</v>
      </c>
      <c r="I62" s="90" t="s">
        <v>2546</v>
      </c>
      <c r="J62" s="93">
        <f xml:space="preserve"> ROUND((ROW()-ROW(J$53))*0.1*首页!$J$14+首页!$J$14,2)</f>
        <v>3.86</v>
      </c>
      <c r="K62" s="183" t="s">
        <v>1878</v>
      </c>
      <c r="L62" s="39">
        <v>0</v>
      </c>
    </row>
    <row r="63" spans="1:12" outlineLevel="1" x14ac:dyDescent="0.3">
      <c r="A63" s="56">
        <v>11</v>
      </c>
      <c r="B63" s="183" t="s">
        <v>1948</v>
      </c>
      <c r="C63" s="40" t="s">
        <v>2404</v>
      </c>
      <c r="D63" s="39">
        <f xml:space="preserve">  ROUND((ROW()-ROW(D$53))*0.1*首页!$J$4+首页!$J$4,2)</f>
        <v>0.91</v>
      </c>
      <c r="E63" s="40" t="s">
        <v>2429</v>
      </c>
      <c r="F63" s="39">
        <f xml:space="preserve"> ROUNDUP((ROW()-ROW(F$53))*0.1*首页!$K$4+首页!$K$4,2)</f>
        <v>3.04</v>
      </c>
      <c r="G63" s="90" t="s">
        <v>2572</v>
      </c>
      <c r="H63" s="93">
        <f>ROUND((ROW()-ROW(H$53))*0.1*首页!$I$14+首页!$I$14,2)</f>
        <v>0.81</v>
      </c>
      <c r="I63" s="90" t="s">
        <v>2547</v>
      </c>
      <c r="J63" s="93">
        <f xml:space="preserve"> ROUND((ROW()-ROW(J$53))*0.1*首页!$J$14+首页!$J$14,2)</f>
        <v>4.0599999999999996</v>
      </c>
      <c r="K63" s="183" t="s">
        <v>1879</v>
      </c>
      <c r="L63" s="39">
        <v>0</v>
      </c>
    </row>
    <row r="64" spans="1:12" outlineLevel="1" x14ac:dyDescent="0.3">
      <c r="A64" s="56">
        <v>12</v>
      </c>
      <c r="B64" s="183" t="s">
        <v>1948</v>
      </c>
      <c r="C64" s="40" t="s">
        <v>2405</v>
      </c>
      <c r="D64" s="39">
        <f xml:space="preserve">  ROUND((ROW()-ROW(D$53))*0.1*首页!$J$4+首页!$J$4,2)</f>
        <v>0.96</v>
      </c>
      <c r="E64" s="40" t="s">
        <v>2430</v>
      </c>
      <c r="F64" s="39">
        <f xml:space="preserve"> ROUNDUP((ROW()-ROW(F$53))*0.1*首页!$K$4+首页!$K$4,2)</f>
        <v>3.1999999999999997</v>
      </c>
      <c r="G64" s="90" t="s">
        <v>2573</v>
      </c>
      <c r="H64" s="93">
        <f>ROUND((ROW()-ROW(H$53))*0.1*首页!$I$14+首页!$I$14,2)</f>
        <v>0.85</v>
      </c>
      <c r="I64" s="90" t="s">
        <v>2548</v>
      </c>
      <c r="J64" s="93">
        <f xml:space="preserve"> ROUND((ROW()-ROW(J$53))*0.1*首页!$J$14+首页!$J$14,2)</f>
        <v>4.26</v>
      </c>
      <c r="K64" s="183" t="s">
        <v>1880</v>
      </c>
      <c r="L64" s="39">
        <v>0</v>
      </c>
    </row>
    <row r="65" spans="1:12" outlineLevel="1" x14ac:dyDescent="0.3">
      <c r="A65" s="56">
        <v>13</v>
      </c>
      <c r="B65" s="183" t="s">
        <v>1948</v>
      </c>
      <c r="C65" s="40" t="s">
        <v>2406</v>
      </c>
      <c r="D65" s="39">
        <f xml:space="preserve">  ROUND((ROW()-ROW(D$53))*0.1*首页!$J$4+首页!$J$4,2)</f>
        <v>1</v>
      </c>
      <c r="E65" s="40" t="s">
        <v>2431</v>
      </c>
      <c r="F65" s="39">
        <f xml:space="preserve"> ROUNDUP((ROW()-ROW(F$53))*0.1*首页!$K$4+首页!$K$4,2)</f>
        <v>3.3499999999999996</v>
      </c>
      <c r="G65" s="90" t="s">
        <v>2574</v>
      </c>
      <c r="H65" s="93">
        <f>ROUND((ROW()-ROW(H$53))*0.1*首页!$I$14+首页!$I$14,2)</f>
        <v>0.89</v>
      </c>
      <c r="I65" s="90" t="s">
        <v>2549</v>
      </c>
      <c r="J65" s="93">
        <f xml:space="preserve"> ROUND((ROW()-ROW(J$53))*0.1*首页!$J$14+首页!$J$14,2)</f>
        <v>4.47</v>
      </c>
      <c r="K65" s="183" t="s">
        <v>1881</v>
      </c>
      <c r="L65" s="39">
        <v>0</v>
      </c>
    </row>
    <row r="66" spans="1:12" outlineLevel="1" x14ac:dyDescent="0.3">
      <c r="A66" s="56">
        <v>14</v>
      </c>
      <c r="B66" s="183" t="s">
        <v>1948</v>
      </c>
      <c r="C66" s="40" t="s">
        <v>2407</v>
      </c>
      <c r="D66" s="39">
        <f xml:space="preserve">  ROUND((ROW()-ROW(D$53))*0.1*首页!$J$4+首页!$J$4,2)</f>
        <v>1.05</v>
      </c>
      <c r="E66" s="40" t="s">
        <v>2432</v>
      </c>
      <c r="F66" s="39">
        <f xml:space="preserve"> ROUNDUP((ROW()-ROW(F$53))*0.1*首页!$K$4+首页!$K$4,2)</f>
        <v>3.5</v>
      </c>
      <c r="G66" s="90" t="s">
        <v>2575</v>
      </c>
      <c r="H66" s="93">
        <f>ROUND((ROW()-ROW(H$53))*0.1*首页!$I$14+首页!$I$14,2)</f>
        <v>0.93</v>
      </c>
      <c r="I66" s="90" t="s">
        <v>2550</v>
      </c>
      <c r="J66" s="93">
        <f xml:space="preserve"> ROUND((ROW()-ROW(J$53))*0.1*首页!$J$14+首页!$J$14,2)</f>
        <v>4.67</v>
      </c>
      <c r="K66" s="183" t="s">
        <v>1882</v>
      </c>
      <c r="L66" s="39">
        <v>0</v>
      </c>
    </row>
    <row r="67" spans="1:12" outlineLevel="1" x14ac:dyDescent="0.3">
      <c r="A67" s="56">
        <v>15</v>
      </c>
      <c r="B67" s="183" t="s">
        <v>1948</v>
      </c>
      <c r="C67" s="40" t="s">
        <v>2408</v>
      </c>
      <c r="D67" s="39">
        <f xml:space="preserve">  ROUND((ROW()-ROW(D$53))*0.1*首页!$J$4+首页!$J$4,2)</f>
        <v>1.0900000000000001</v>
      </c>
      <c r="E67" s="40" t="s">
        <v>2433</v>
      </c>
      <c r="F67" s="39">
        <f xml:space="preserve"> ROUNDUP((ROW()-ROW(F$53))*0.1*首页!$K$4+首页!$K$4,2)</f>
        <v>3.65</v>
      </c>
      <c r="G67" s="90" t="s">
        <v>2576</v>
      </c>
      <c r="H67" s="93">
        <f>ROUND((ROW()-ROW(H$53))*0.1*首页!$I$14+首页!$I$14,2)</f>
        <v>0.97</v>
      </c>
      <c r="I67" s="90" t="s">
        <v>2551</v>
      </c>
      <c r="J67" s="93">
        <f xml:space="preserve"> ROUND((ROW()-ROW(J$53))*0.1*首页!$J$14+首页!$J$14,2)</f>
        <v>4.87</v>
      </c>
      <c r="K67" s="183" t="s">
        <v>1883</v>
      </c>
      <c r="L67" s="39">
        <v>0</v>
      </c>
    </row>
    <row r="68" spans="1:12" outlineLevel="1" x14ac:dyDescent="0.3">
      <c r="A68" s="56">
        <v>16</v>
      </c>
      <c r="B68" s="183" t="s">
        <v>1948</v>
      </c>
      <c r="C68" s="40" t="s">
        <v>2409</v>
      </c>
      <c r="D68" s="39">
        <f xml:space="preserve">  ROUND((ROW()-ROW(D$53))*0.1*首页!$J$4+首页!$J$4,2)</f>
        <v>1.1399999999999999</v>
      </c>
      <c r="E68" s="40" t="s">
        <v>2434</v>
      </c>
      <c r="F68" s="39">
        <f xml:space="preserve"> ROUNDUP((ROW()-ROW(F$53))*0.1*首页!$K$4+首页!$K$4,2)</f>
        <v>3.8</v>
      </c>
      <c r="G68" s="90" t="s">
        <v>2577</v>
      </c>
      <c r="H68" s="93">
        <f>ROUND((ROW()-ROW(H$53))*0.1*首页!$I$14+首页!$I$14,2)</f>
        <v>1.01</v>
      </c>
      <c r="I68" s="90" t="s">
        <v>2552</v>
      </c>
      <c r="J68" s="93">
        <f xml:space="preserve"> ROUND((ROW()-ROW(J$53))*0.1*首页!$J$14+首页!$J$14,2)</f>
        <v>5.08</v>
      </c>
      <c r="K68" s="183" t="s">
        <v>1884</v>
      </c>
      <c r="L68" s="39">
        <v>0</v>
      </c>
    </row>
    <row r="69" spans="1:12" outlineLevel="1" x14ac:dyDescent="0.3">
      <c r="A69" s="56">
        <v>17</v>
      </c>
      <c r="B69" s="183" t="s">
        <v>1948</v>
      </c>
      <c r="C69" s="40" t="s">
        <v>2410</v>
      </c>
      <c r="D69" s="39">
        <f xml:space="preserve">  ROUND((ROW()-ROW(D$53))*0.1*首页!$J$4+首页!$J$4,2)</f>
        <v>1.19</v>
      </c>
      <c r="E69" s="40" t="s">
        <v>2435</v>
      </c>
      <c r="F69" s="39">
        <f xml:space="preserve"> ROUNDUP((ROW()-ROW(F$53))*0.1*首页!$K$4+首页!$K$4,2)</f>
        <v>3.96</v>
      </c>
      <c r="G69" s="90" t="s">
        <v>2578</v>
      </c>
      <c r="H69" s="93">
        <f>ROUND((ROW()-ROW(H$53))*0.1*首页!$I$14+首页!$I$14,2)</f>
        <v>1.05</v>
      </c>
      <c r="I69" s="90" t="s">
        <v>2553</v>
      </c>
      <c r="J69" s="93">
        <f xml:space="preserve"> ROUND((ROW()-ROW(J$53))*0.1*首页!$J$14+首页!$J$14,2)</f>
        <v>5.28</v>
      </c>
      <c r="K69" s="183" t="s">
        <v>1885</v>
      </c>
      <c r="L69" s="39">
        <v>0</v>
      </c>
    </row>
    <row r="70" spans="1:12" outlineLevel="1" x14ac:dyDescent="0.3">
      <c r="A70" s="56">
        <v>18</v>
      </c>
      <c r="B70" s="183" t="s">
        <v>1948</v>
      </c>
      <c r="C70" s="40" t="s">
        <v>2411</v>
      </c>
      <c r="D70" s="39">
        <f xml:space="preserve">  ROUND((ROW()-ROW(D$53))*0.1*首页!$J$4+首页!$J$4,2)</f>
        <v>1.23</v>
      </c>
      <c r="E70" s="40" t="s">
        <v>2436</v>
      </c>
      <c r="F70" s="39">
        <f xml:space="preserve"> ROUNDUP((ROW()-ROW(F$53))*0.1*首页!$K$4+首页!$K$4,2)</f>
        <v>4.1099999999999994</v>
      </c>
      <c r="G70" s="90" t="s">
        <v>2579</v>
      </c>
      <c r="H70" s="93">
        <f>ROUND((ROW()-ROW(H$53))*0.1*首页!$I$14+首页!$I$14,2)</f>
        <v>1.0900000000000001</v>
      </c>
      <c r="I70" s="90" t="s">
        <v>2554</v>
      </c>
      <c r="J70" s="93">
        <f xml:space="preserve"> ROUND((ROW()-ROW(J$53))*0.1*首页!$J$14+首页!$J$14,2)</f>
        <v>5.48</v>
      </c>
      <c r="K70" s="183" t="s">
        <v>1886</v>
      </c>
      <c r="L70" s="39">
        <v>0</v>
      </c>
    </row>
    <row r="71" spans="1:12" outlineLevel="1" x14ac:dyDescent="0.3">
      <c r="A71" s="56">
        <v>19</v>
      </c>
      <c r="B71" s="183" t="s">
        <v>1948</v>
      </c>
      <c r="C71" s="40" t="s">
        <v>2412</v>
      </c>
      <c r="D71" s="39">
        <f xml:space="preserve">  ROUND((ROW()-ROW(D$53))*0.1*首页!$J$4+首页!$J$4,2)</f>
        <v>1.28</v>
      </c>
      <c r="E71" s="40" t="s">
        <v>2437</v>
      </c>
      <c r="F71" s="39">
        <f xml:space="preserve"> ROUNDUP((ROW()-ROW(F$53))*0.1*首页!$K$4+首页!$K$4,2)</f>
        <v>4.26</v>
      </c>
      <c r="G71" s="90" t="s">
        <v>2580</v>
      </c>
      <c r="H71" s="93">
        <f>ROUND((ROW()-ROW(H$53))*0.1*首页!$I$14+首页!$I$14,2)</f>
        <v>1.1299999999999999</v>
      </c>
      <c r="I71" s="90" t="s">
        <v>2555</v>
      </c>
      <c r="J71" s="93">
        <f xml:space="preserve"> ROUND((ROW()-ROW(J$53))*0.1*首页!$J$14+首页!$J$14,2)</f>
        <v>5.68</v>
      </c>
      <c r="K71" s="183" t="s">
        <v>1887</v>
      </c>
      <c r="L71" s="39">
        <v>0</v>
      </c>
    </row>
    <row r="72" spans="1:12" outlineLevel="1" x14ac:dyDescent="0.3">
      <c r="A72" s="56">
        <v>20</v>
      </c>
      <c r="B72" s="183" t="s">
        <v>1948</v>
      </c>
      <c r="C72" s="40" t="s">
        <v>2413</v>
      </c>
      <c r="D72" s="39">
        <f xml:space="preserve">  ROUND((ROW()-ROW(D$53))*0.1*首页!$J$4+首页!$J$4,2)</f>
        <v>1.32</v>
      </c>
      <c r="E72" s="40" t="s">
        <v>2438</v>
      </c>
      <c r="F72" s="39">
        <f xml:space="preserve"> ROUNDUP((ROW()-ROW(F$53))*0.1*首页!$K$4+首页!$K$4,2)</f>
        <v>4.41</v>
      </c>
      <c r="G72" s="90" t="s">
        <v>2581</v>
      </c>
      <c r="H72" s="93">
        <f>ROUND((ROW()-ROW(H$53))*0.1*首页!$I$14+首页!$I$14,2)</f>
        <v>1.17</v>
      </c>
      <c r="I72" s="90" t="s">
        <v>2556</v>
      </c>
      <c r="J72" s="93">
        <f xml:space="preserve"> ROUND((ROW()-ROW(J$53))*0.1*首页!$J$14+首页!$J$14,2)</f>
        <v>5.89</v>
      </c>
      <c r="K72" s="183" t="s">
        <v>1888</v>
      </c>
      <c r="L72" s="39">
        <v>0</v>
      </c>
    </row>
    <row r="73" spans="1:12" outlineLevel="1" x14ac:dyDescent="0.3">
      <c r="A73" s="56">
        <v>21</v>
      </c>
      <c r="B73" s="183" t="s">
        <v>1948</v>
      </c>
      <c r="C73" s="40" t="s">
        <v>2414</v>
      </c>
      <c r="D73" s="39">
        <f xml:space="preserve">  ROUND((ROW()-ROW(D$53))*0.1*首页!$J$4+首页!$J$4,2)</f>
        <v>1.37</v>
      </c>
      <c r="E73" s="40" t="s">
        <v>2439</v>
      </c>
      <c r="F73" s="39">
        <f xml:space="preserve"> ROUNDUP((ROW()-ROW(F$53))*0.1*首页!$K$4+首页!$K$4,2)</f>
        <v>4.5599999999999996</v>
      </c>
      <c r="G73" s="90" t="s">
        <v>2582</v>
      </c>
      <c r="H73" s="93">
        <f>ROUND((ROW()-ROW(H$53))*0.1*首页!$I$14+首页!$I$14,2)</f>
        <v>1.22</v>
      </c>
      <c r="I73" s="90" t="s">
        <v>2557</v>
      </c>
      <c r="J73" s="93">
        <f xml:space="preserve"> ROUND((ROW()-ROW(J$53))*0.1*首页!$J$14+首页!$J$14,2)</f>
        <v>6.09</v>
      </c>
      <c r="K73" s="183" t="s">
        <v>1889</v>
      </c>
      <c r="L73" s="39">
        <v>1</v>
      </c>
    </row>
    <row r="74" spans="1:12" outlineLevel="1" x14ac:dyDescent="0.3">
      <c r="A74" s="56">
        <v>22</v>
      </c>
      <c r="B74" s="183" t="s">
        <v>1948</v>
      </c>
      <c r="C74" s="40" t="s">
        <v>2415</v>
      </c>
      <c r="D74" s="39">
        <f xml:space="preserve">  ROUND((ROW()-ROW(D$53))*0.1*首页!$J$4+首页!$J$4,2)</f>
        <v>1.41</v>
      </c>
      <c r="E74" s="40" t="s">
        <v>2440</v>
      </c>
      <c r="F74" s="39">
        <f xml:space="preserve"> ROUNDUP((ROW()-ROW(F$53))*0.1*首页!$K$4+首页!$K$4,2)</f>
        <v>4.72</v>
      </c>
      <c r="G74" s="90" t="s">
        <v>2583</v>
      </c>
      <c r="H74" s="93">
        <f>ROUND((ROW()-ROW(H$53))*0.1*首页!$I$14+首页!$I$14,2)</f>
        <v>1.26</v>
      </c>
      <c r="I74" s="90" t="s">
        <v>2558</v>
      </c>
      <c r="J74" s="93">
        <f xml:space="preserve"> ROUND((ROW()-ROW(J$53))*0.1*首页!$J$14+首页!$J$14,2)</f>
        <v>6.29</v>
      </c>
      <c r="K74" s="183" t="s">
        <v>1890</v>
      </c>
      <c r="L74" s="39">
        <v>1</v>
      </c>
    </row>
    <row r="75" spans="1:12" outlineLevel="1" x14ac:dyDescent="0.3">
      <c r="A75" s="56">
        <v>23</v>
      </c>
      <c r="B75" s="183" t="s">
        <v>1948</v>
      </c>
      <c r="C75" s="40" t="s">
        <v>2416</v>
      </c>
      <c r="D75" s="39">
        <f xml:space="preserve">  ROUND((ROW()-ROW(D$53))*0.1*首页!$J$4+首页!$J$4,2)</f>
        <v>1.46</v>
      </c>
      <c r="E75" s="40" t="s">
        <v>2441</v>
      </c>
      <c r="F75" s="39">
        <f xml:space="preserve"> ROUNDUP((ROW()-ROW(F$53))*0.1*首页!$K$4+首页!$K$4,2)</f>
        <v>4.87</v>
      </c>
      <c r="G75" s="90" t="s">
        <v>2584</v>
      </c>
      <c r="H75" s="93">
        <f>ROUND((ROW()-ROW(H$53))*0.1*首页!$I$14+首页!$I$14,2)</f>
        <v>1.3</v>
      </c>
      <c r="I75" s="90" t="s">
        <v>2559</v>
      </c>
      <c r="J75" s="93">
        <f xml:space="preserve"> ROUND((ROW()-ROW(J$53))*0.1*首页!$J$14+首页!$J$14,2)</f>
        <v>6.5</v>
      </c>
      <c r="K75" s="183" t="s">
        <v>1891</v>
      </c>
      <c r="L75" s="39">
        <v>1</v>
      </c>
    </row>
    <row r="76" spans="1:12" outlineLevel="1" x14ac:dyDescent="0.3">
      <c r="A76" s="56">
        <v>24</v>
      </c>
      <c r="B76" s="183" t="s">
        <v>1948</v>
      </c>
      <c r="C76" s="40" t="s">
        <v>2417</v>
      </c>
      <c r="D76" s="39">
        <f xml:space="preserve">  ROUND((ROW()-ROW(D$53))*0.1*首页!$J$4+首页!$J$4,2)</f>
        <v>1.5</v>
      </c>
      <c r="E76" s="40" t="s">
        <v>2442</v>
      </c>
      <c r="F76" s="39">
        <f xml:space="preserve"> ROUNDUP((ROW()-ROW(F$53))*0.1*首页!$K$4+首页!$K$4,2)</f>
        <v>5.0199999999999996</v>
      </c>
      <c r="G76" s="90" t="s">
        <v>2585</v>
      </c>
      <c r="H76" s="93">
        <f>ROUND((ROW()-ROW(H$53))*0.1*首页!$I$14+首页!$I$14,2)</f>
        <v>1.34</v>
      </c>
      <c r="I76" s="90" t="s">
        <v>2560</v>
      </c>
      <c r="J76" s="93">
        <f xml:space="preserve"> ROUND((ROW()-ROW(J$53))*0.1*首页!$J$14+首页!$J$14,2)</f>
        <v>6.7</v>
      </c>
      <c r="K76" s="183" t="s">
        <v>1892</v>
      </c>
      <c r="L76" s="39">
        <v>1</v>
      </c>
    </row>
    <row r="77" spans="1:12" outlineLevel="1" x14ac:dyDescent="0.3">
      <c r="A77" s="56">
        <v>25</v>
      </c>
      <c r="B77" s="183" t="s">
        <v>1948</v>
      </c>
      <c r="C77" s="48" t="s">
        <v>2418</v>
      </c>
      <c r="D77" s="49">
        <f xml:space="preserve">  ROUND((ROW()-ROW(D$53))*0.1*首页!$J$4+首页!$J$4,2)</f>
        <v>1.55</v>
      </c>
      <c r="E77" s="48" t="s">
        <v>2419</v>
      </c>
      <c r="F77" s="49">
        <f xml:space="preserve"> ROUNDUP((ROW()-ROW(F$53))*0.1*首页!$K$4+首页!$K$4,2)</f>
        <v>5.17</v>
      </c>
      <c r="G77" s="96" t="s">
        <v>2586</v>
      </c>
      <c r="H77" s="97">
        <f>ROUND((ROW()-ROW(H$53))*0.1*首页!$I$14+首页!$I$14,2)</f>
        <v>1.38</v>
      </c>
      <c r="I77" s="96" t="s">
        <v>2561</v>
      </c>
      <c r="J77" s="97">
        <f xml:space="preserve"> ROUND((ROW()-ROW(J$53))*0.1*首页!$J$14+首页!$J$14,2)</f>
        <v>6.9</v>
      </c>
      <c r="K77" s="184" t="s">
        <v>1893</v>
      </c>
      <c r="L77" s="49">
        <v>1</v>
      </c>
    </row>
    <row r="79" spans="1:12" x14ac:dyDescent="0.3">
      <c r="A79" s="56" t="s">
        <v>2059</v>
      </c>
      <c r="B79" s="38" t="s">
        <v>1945</v>
      </c>
      <c r="C79" s="42" t="s">
        <v>2591</v>
      </c>
      <c r="D79" s="43" t="s">
        <v>1944</v>
      </c>
    </row>
    <row r="80" spans="1:12" x14ac:dyDescent="0.3">
      <c r="A80" s="56">
        <v>2</v>
      </c>
      <c r="B80" s="42" t="s">
        <v>1949</v>
      </c>
      <c r="C80" s="42" t="s">
        <v>1774</v>
      </c>
      <c r="D80" s="43">
        <f xml:space="preserve"> (ROW()-ROW(D$79))*首页!$J$7+首页!$I$7</f>
        <v>6.9999999999999993E-2</v>
      </c>
    </row>
    <row r="81" spans="1:4" x14ac:dyDescent="0.3">
      <c r="A81" s="56">
        <v>3</v>
      </c>
      <c r="B81" s="45" t="s">
        <v>1949</v>
      </c>
      <c r="C81" s="45" t="s">
        <v>1775</v>
      </c>
      <c r="D81" s="46">
        <f xml:space="preserve"> (ROW()-ROW(D$79))*首页!$J$7+首页!$I$7</f>
        <v>0.08</v>
      </c>
    </row>
    <row r="82" spans="1:4" x14ac:dyDescent="0.3">
      <c r="A82" s="56">
        <v>4</v>
      </c>
      <c r="B82" s="45" t="s">
        <v>1949</v>
      </c>
      <c r="C82" s="45" t="s">
        <v>1776</v>
      </c>
      <c r="D82" s="46">
        <f xml:space="preserve"> (ROW()-ROW(D$79))*首页!$J$7+首页!$I$7</f>
        <v>0.09</v>
      </c>
    </row>
    <row r="83" spans="1:4" x14ac:dyDescent="0.3">
      <c r="A83" s="56">
        <v>5</v>
      </c>
      <c r="B83" s="45" t="s">
        <v>1949</v>
      </c>
      <c r="C83" s="45" t="s">
        <v>1777</v>
      </c>
      <c r="D83" s="46">
        <f xml:space="preserve"> (ROW()-ROW(D$79))*首页!$J$7+首页!$I$7</f>
        <v>0.1</v>
      </c>
    </row>
    <row r="84" spans="1:4" x14ac:dyDescent="0.3">
      <c r="A84" s="56">
        <v>6</v>
      </c>
      <c r="B84" s="45" t="s">
        <v>1949</v>
      </c>
      <c r="C84" s="45" t="s">
        <v>1778</v>
      </c>
      <c r="D84" s="46">
        <f xml:space="preserve"> (ROW()-ROW(D$79))*首页!$J$7+首页!$I$7</f>
        <v>0.11</v>
      </c>
    </row>
    <row r="85" spans="1:4" x14ac:dyDescent="0.3">
      <c r="A85" s="56">
        <v>7</v>
      </c>
      <c r="B85" s="45" t="s">
        <v>1949</v>
      </c>
      <c r="C85" s="45" t="s">
        <v>1779</v>
      </c>
      <c r="D85" s="46">
        <f xml:space="preserve"> (ROW()-ROW(D$79))*首页!$J$7+首页!$I$7</f>
        <v>0.12</v>
      </c>
    </row>
    <row r="86" spans="1:4" x14ac:dyDescent="0.3">
      <c r="A86" s="56">
        <v>8</v>
      </c>
      <c r="B86" s="45" t="s">
        <v>1949</v>
      </c>
      <c r="C86" s="45" t="s">
        <v>1780</v>
      </c>
      <c r="D86" s="46">
        <f xml:space="preserve"> (ROW()-ROW(D$79))*首页!$J$7+首页!$I$7</f>
        <v>0.13</v>
      </c>
    </row>
    <row r="87" spans="1:4" x14ac:dyDescent="0.3">
      <c r="A87" s="56">
        <v>9</v>
      </c>
      <c r="B87" s="45" t="s">
        <v>1949</v>
      </c>
      <c r="C87" s="45" t="s">
        <v>1781</v>
      </c>
      <c r="D87" s="46">
        <f xml:space="preserve"> (ROW()-ROW(D$79))*首页!$J$7+首页!$I$7</f>
        <v>0.14000000000000001</v>
      </c>
    </row>
    <row r="88" spans="1:4" x14ac:dyDescent="0.3">
      <c r="A88" s="56">
        <v>10</v>
      </c>
      <c r="B88" s="45" t="s">
        <v>1949</v>
      </c>
      <c r="C88" s="45" t="s">
        <v>1782</v>
      </c>
      <c r="D88" s="46">
        <f xml:space="preserve"> (ROW()-ROW(D$79))*首页!$J$7+首页!$I$7</f>
        <v>0.15</v>
      </c>
    </row>
    <row r="89" spans="1:4" x14ac:dyDescent="0.3">
      <c r="A89" s="56">
        <v>11</v>
      </c>
      <c r="B89" s="45" t="s">
        <v>1949</v>
      </c>
      <c r="C89" s="45" t="s">
        <v>1783</v>
      </c>
      <c r="D89" s="46">
        <f xml:space="preserve"> (ROW()-ROW(D$79))*首页!$J$7+首页!$I$7</f>
        <v>0.16</v>
      </c>
    </row>
    <row r="90" spans="1:4" x14ac:dyDescent="0.3">
      <c r="A90" s="56">
        <v>12</v>
      </c>
      <c r="B90" s="45" t="s">
        <v>1949</v>
      </c>
      <c r="C90" s="45" t="s">
        <v>1784</v>
      </c>
      <c r="D90" s="46">
        <f xml:space="preserve"> (ROW()-ROW(D$79))*首页!$J$7+首页!$I$7</f>
        <v>0.16999999999999998</v>
      </c>
    </row>
    <row r="91" spans="1:4" x14ac:dyDescent="0.3">
      <c r="A91" s="56">
        <v>13</v>
      </c>
      <c r="B91" s="45" t="s">
        <v>1949</v>
      </c>
      <c r="C91" s="45" t="s">
        <v>1785</v>
      </c>
      <c r="D91" s="46">
        <f xml:space="preserve"> (ROW()-ROW(D$79))*首页!$J$7+首页!$I$7</f>
        <v>0.18</v>
      </c>
    </row>
    <row r="92" spans="1:4" x14ac:dyDescent="0.3">
      <c r="A92" s="56">
        <v>14</v>
      </c>
      <c r="B92" s="45" t="s">
        <v>1949</v>
      </c>
      <c r="C92" s="45" t="s">
        <v>1786</v>
      </c>
      <c r="D92" s="46">
        <f xml:space="preserve"> (ROW()-ROW(D$79))*首页!$J$7+首页!$I$7</f>
        <v>0.19</v>
      </c>
    </row>
    <row r="93" spans="1:4" x14ac:dyDescent="0.3">
      <c r="A93" s="56">
        <v>15</v>
      </c>
      <c r="B93" s="45" t="s">
        <v>1949</v>
      </c>
      <c r="C93" s="45" t="s">
        <v>1787</v>
      </c>
      <c r="D93" s="46">
        <f xml:space="preserve"> (ROW()-ROW(D$79))*首页!$J$7+首页!$I$7</f>
        <v>0.2</v>
      </c>
    </row>
    <row r="94" spans="1:4" x14ac:dyDescent="0.3">
      <c r="A94" s="56">
        <v>16</v>
      </c>
      <c r="B94" s="45" t="s">
        <v>1949</v>
      </c>
      <c r="C94" s="45" t="s">
        <v>1788</v>
      </c>
      <c r="D94" s="46">
        <f xml:space="preserve"> (ROW()-ROW(D$79))*首页!$J$7+首页!$I$7</f>
        <v>0.21</v>
      </c>
    </row>
    <row r="95" spans="1:4" x14ac:dyDescent="0.3">
      <c r="A95" s="56">
        <v>17</v>
      </c>
      <c r="B95" s="45" t="s">
        <v>1949</v>
      </c>
      <c r="C95" s="45" t="s">
        <v>1789</v>
      </c>
      <c r="D95" s="46">
        <f xml:space="preserve"> (ROW()-ROW(D$79))*首页!$J$7+首页!$I$7</f>
        <v>0.22</v>
      </c>
    </row>
    <row r="96" spans="1:4" x14ac:dyDescent="0.3">
      <c r="A96" s="56">
        <v>18</v>
      </c>
      <c r="B96" s="45" t="s">
        <v>1949</v>
      </c>
      <c r="C96" s="45" t="s">
        <v>1790</v>
      </c>
      <c r="D96" s="46">
        <f xml:space="preserve"> (ROW()-ROW(D$79))*首页!$J$7+首页!$I$7</f>
        <v>0.23</v>
      </c>
    </row>
    <row r="97" spans="1:4" x14ac:dyDescent="0.3">
      <c r="A97" s="56">
        <v>19</v>
      </c>
      <c r="B97" s="45" t="s">
        <v>1949</v>
      </c>
      <c r="C97" s="45" t="s">
        <v>1791</v>
      </c>
      <c r="D97" s="46">
        <f xml:space="preserve"> (ROW()-ROW(D$79))*首页!$J$7+首页!$I$7</f>
        <v>0.24</v>
      </c>
    </row>
    <row r="98" spans="1:4" x14ac:dyDescent="0.3">
      <c r="A98" s="56">
        <v>20</v>
      </c>
      <c r="B98" s="45" t="s">
        <v>1949</v>
      </c>
      <c r="C98" s="45" t="s">
        <v>1792</v>
      </c>
      <c r="D98" s="46">
        <f xml:space="preserve"> (ROW()-ROW(D$79))*首页!$J$7+首页!$I$7</f>
        <v>0.25</v>
      </c>
    </row>
    <row r="99" spans="1:4" x14ac:dyDescent="0.3">
      <c r="A99" s="56">
        <v>21</v>
      </c>
      <c r="B99" s="45" t="s">
        <v>1949</v>
      </c>
      <c r="C99" s="45" t="s">
        <v>1793</v>
      </c>
      <c r="D99" s="46">
        <f xml:space="preserve"> (ROW()-ROW(D$79))*首页!$J$7+首页!$I$7</f>
        <v>0.26</v>
      </c>
    </row>
    <row r="100" spans="1:4" x14ac:dyDescent="0.3">
      <c r="A100" s="56">
        <v>22</v>
      </c>
      <c r="B100" s="45" t="s">
        <v>1949</v>
      </c>
      <c r="C100" s="45" t="s">
        <v>1794</v>
      </c>
      <c r="D100" s="46">
        <f xml:space="preserve"> (ROW()-ROW(D$79))*首页!$J$7+首页!$I$7</f>
        <v>0.27</v>
      </c>
    </row>
    <row r="101" spans="1:4" x14ac:dyDescent="0.3">
      <c r="A101" s="56">
        <v>23</v>
      </c>
      <c r="B101" s="45" t="s">
        <v>1949</v>
      </c>
      <c r="C101" s="45" t="s">
        <v>1795</v>
      </c>
      <c r="D101" s="46">
        <f xml:space="preserve"> (ROW()-ROW(D$79))*首页!$J$7+首页!$I$7</f>
        <v>0.28000000000000003</v>
      </c>
    </row>
    <row r="102" spans="1:4" x14ac:dyDescent="0.3">
      <c r="A102" s="56">
        <v>24</v>
      </c>
      <c r="B102" s="45" t="s">
        <v>1949</v>
      </c>
      <c r="C102" s="45" t="s">
        <v>1796</v>
      </c>
      <c r="D102" s="46">
        <f xml:space="preserve"> (ROW()-ROW(D$79))*首页!$J$7+首页!$I$7</f>
        <v>0.29000000000000004</v>
      </c>
    </row>
    <row r="103" spans="1:4" x14ac:dyDescent="0.3">
      <c r="A103" s="56">
        <v>25</v>
      </c>
      <c r="B103" s="51" t="s">
        <v>1949</v>
      </c>
      <c r="C103" s="51" t="s">
        <v>1797</v>
      </c>
      <c r="D103" s="52">
        <f xml:space="preserve"> (ROW()-ROW(D$79))*首页!$J$7+首页!$I$7</f>
        <v>0.3</v>
      </c>
    </row>
  </sheetData>
  <sheetProtection sheet="1" objects="1" scenarios="1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5A9F-5D12-490F-B5A2-1A7E544B215B}">
  <dimension ref="A1:K77"/>
  <sheetViews>
    <sheetView topLeftCell="A52" zoomScale="70" zoomScaleNormal="70" workbookViewId="0">
      <selection activeCell="I125" sqref="I125"/>
    </sheetView>
  </sheetViews>
  <sheetFormatPr defaultRowHeight="14" outlineLevelRow="1" outlineLevelCol="1" x14ac:dyDescent="0.3"/>
  <cols>
    <col min="2" max="2" width="8.6640625" customWidth="1"/>
    <col min="3" max="3" width="20.1640625" customWidth="1"/>
    <col min="4" max="4" width="13.4140625" customWidth="1"/>
    <col min="5" max="5" width="5.58203125" customWidth="1"/>
    <col min="6" max="6" width="24.25" customWidth="1" outlineLevel="1"/>
    <col min="7" max="7" width="4.83203125" customWidth="1" outlineLevel="1"/>
    <col min="8" max="8" width="25.08203125" customWidth="1" outlineLevel="1"/>
    <col min="9" max="9" width="5.5" customWidth="1" outlineLevel="1"/>
    <col min="10" max="10" width="19.25" customWidth="1" outlineLevel="1"/>
    <col min="11" max="11" width="4.75" customWidth="1" outlineLevel="1"/>
    <col min="13" max="13" width="21.33203125" customWidth="1"/>
    <col min="14" max="14" width="15" customWidth="1"/>
    <col min="15" max="15" width="7.1640625" customWidth="1"/>
    <col min="16" max="16" width="24.25" customWidth="1"/>
    <col min="17" max="17" width="8.4140625" customWidth="1"/>
    <col min="18" max="18" width="22.08203125" customWidth="1"/>
    <col min="19" max="19" width="6.25" customWidth="1"/>
    <col min="20" max="20" width="21.5" customWidth="1"/>
    <col min="21" max="21" width="5.4140625" customWidth="1"/>
    <col min="23" max="23" width="21.4140625" customWidth="1"/>
    <col min="24" max="24" width="14.5" customWidth="1"/>
    <col min="25" max="25" width="6.83203125" customWidth="1"/>
    <col min="26" max="26" width="23.25" customWidth="1"/>
    <col min="27" max="27" width="5.58203125" customWidth="1"/>
    <col min="28" max="28" width="21" customWidth="1"/>
    <col min="29" max="29" width="4.08203125" customWidth="1"/>
    <col min="30" max="30" width="19.58203125" customWidth="1"/>
    <col min="31" max="31" width="5.5" customWidth="1"/>
  </cols>
  <sheetData>
    <row r="1" spans="1:11" outlineLevel="1" x14ac:dyDescent="0.3">
      <c r="A1" s="56" t="s">
        <v>2059</v>
      </c>
      <c r="B1" s="57" t="s">
        <v>1945</v>
      </c>
      <c r="C1" s="57" t="s">
        <v>0</v>
      </c>
      <c r="D1" s="5" t="s">
        <v>1</v>
      </c>
      <c r="E1" s="6" t="s">
        <v>1944</v>
      </c>
      <c r="F1" s="5" t="s">
        <v>154</v>
      </c>
      <c r="G1" s="6" t="s">
        <v>1944</v>
      </c>
      <c r="H1" s="5" t="s">
        <v>1918</v>
      </c>
      <c r="I1" s="6" t="s">
        <v>1944</v>
      </c>
      <c r="J1" s="5" t="s">
        <v>3</v>
      </c>
      <c r="K1" s="6" t="s">
        <v>1944</v>
      </c>
    </row>
    <row r="2" spans="1:11" outlineLevel="1" x14ac:dyDescent="0.3">
      <c r="A2" s="56">
        <v>2</v>
      </c>
      <c r="B2" s="4" t="s">
        <v>1946</v>
      </c>
      <c r="C2" s="12" t="s">
        <v>4</v>
      </c>
      <c r="D2" s="5" t="s">
        <v>1726</v>
      </c>
      <c r="E2" s="6">
        <f xml:space="preserve"> (ROW()-ROW(E$1)+1)*首页!$B$2</f>
        <v>800</v>
      </c>
      <c r="F2" s="5" t="s">
        <v>1702</v>
      </c>
      <c r="G2" s="6">
        <f xml:space="preserve"> (ROW()-ROW(G$1)+1)*首页!$F$2</f>
        <v>82</v>
      </c>
      <c r="H2" s="5" t="s">
        <v>1678</v>
      </c>
      <c r="I2" s="6">
        <f xml:space="preserve"> ROUND((ROW()-ROW(I$1)+1)*首页!$G$2,2)</f>
        <v>0.22</v>
      </c>
      <c r="J2" s="5" t="s">
        <v>1654</v>
      </c>
      <c r="K2" s="6">
        <f xml:space="preserve"> ROUNDUP(E2/(首页!$D$2-MIN(LN(ROW()-ROW(K$1)+1)/LN(25)*(首页!$D$2-首页!$E$2),(首页!$D$2-首页!$E$2))),0)</f>
        <v>5</v>
      </c>
    </row>
    <row r="3" spans="1:11" outlineLevel="1" x14ac:dyDescent="0.3">
      <c r="A3" s="56">
        <v>3</v>
      </c>
      <c r="B3" s="4" t="s">
        <v>1946</v>
      </c>
      <c r="C3" s="12" t="s">
        <v>5</v>
      </c>
      <c r="D3" s="12" t="s">
        <v>1727</v>
      </c>
      <c r="E3" s="13">
        <f xml:space="preserve"> (ROW()-ROW(E$1)+1)*首页!$B$2</f>
        <v>1200</v>
      </c>
      <c r="F3" s="12" t="s">
        <v>1703</v>
      </c>
      <c r="G3" s="13">
        <f xml:space="preserve"> (ROW()-ROW(G$1)+1)*首页!$F$2</f>
        <v>123</v>
      </c>
      <c r="H3" s="12" t="s">
        <v>1679</v>
      </c>
      <c r="I3" s="13">
        <f xml:space="preserve"> ROUND((ROW()-ROW(I$1)+1)*首页!$G$2,2)</f>
        <v>0.33</v>
      </c>
      <c r="J3" s="12" t="s">
        <v>1655</v>
      </c>
      <c r="K3" s="13">
        <f xml:space="preserve"> ROUNDUP(E3/(首页!$D$2-MIN(LN(ROW()-ROW(K$1)+1)/LN(25)*(首页!$D$2-首页!$E$2),(首页!$D$2-首页!$E$2))),0)</f>
        <v>8</v>
      </c>
    </row>
    <row r="4" spans="1:11" outlineLevel="1" x14ac:dyDescent="0.3">
      <c r="A4" s="56">
        <v>4</v>
      </c>
      <c r="B4" s="4" t="s">
        <v>1946</v>
      </c>
      <c r="C4" s="12" t="s">
        <v>6</v>
      </c>
      <c r="D4" s="12" t="s">
        <v>1728</v>
      </c>
      <c r="E4" s="13">
        <f xml:space="preserve"> (ROW()-ROW(E$1)+1)*首页!$B$2</f>
        <v>1600</v>
      </c>
      <c r="F4" s="12" t="s">
        <v>1704</v>
      </c>
      <c r="G4" s="13">
        <f xml:space="preserve"> (ROW()-ROW(G$1)+1)*首页!$F$2</f>
        <v>164</v>
      </c>
      <c r="H4" s="12" t="s">
        <v>1680</v>
      </c>
      <c r="I4" s="13">
        <f xml:space="preserve"> ROUND((ROW()-ROW(I$1)+1)*首页!$G$2,2)</f>
        <v>0.44</v>
      </c>
      <c r="J4" s="12" t="s">
        <v>1656</v>
      </c>
      <c r="K4" s="13">
        <f xml:space="preserve"> ROUNDUP(E4/(首页!$D$2-MIN(LN(ROW()-ROW(K$1)+1)/LN(25)*(首页!$D$2-首页!$E$2),(首页!$D$2-首页!$E$2))),0)</f>
        <v>11</v>
      </c>
    </row>
    <row r="5" spans="1:11" outlineLevel="1" x14ac:dyDescent="0.3">
      <c r="A5" s="56">
        <v>5</v>
      </c>
      <c r="B5" s="4" t="s">
        <v>1946</v>
      </c>
      <c r="C5" s="12" t="s">
        <v>7</v>
      </c>
      <c r="D5" s="12" t="s">
        <v>1729</v>
      </c>
      <c r="E5" s="13">
        <f xml:space="preserve"> (ROW()-ROW(E$1)+1)*首页!$B$2</f>
        <v>2000</v>
      </c>
      <c r="F5" s="12" t="s">
        <v>1705</v>
      </c>
      <c r="G5" s="13">
        <f xml:space="preserve"> (ROW()-ROW(G$1)+1)*首页!$F$2</f>
        <v>205</v>
      </c>
      <c r="H5" s="12" t="s">
        <v>1681</v>
      </c>
      <c r="I5" s="13">
        <f xml:space="preserve"> ROUND((ROW()-ROW(I$1)+1)*首页!$G$2,2)</f>
        <v>0.55000000000000004</v>
      </c>
      <c r="J5" s="12" t="s">
        <v>1657</v>
      </c>
      <c r="K5" s="13">
        <f xml:space="preserve"> ROUNDUP(E5/(首页!$D$2-MIN(LN(ROW()-ROW(K$1)+1)/LN(25)*(首页!$D$2-首页!$E$2),(首页!$D$2-首页!$E$2))),0)</f>
        <v>15</v>
      </c>
    </row>
    <row r="6" spans="1:11" outlineLevel="1" x14ac:dyDescent="0.3">
      <c r="A6" s="56">
        <v>6</v>
      </c>
      <c r="B6" s="4" t="s">
        <v>1946</v>
      </c>
      <c r="C6" s="12" t="s">
        <v>8</v>
      </c>
      <c r="D6" s="12" t="s">
        <v>1730</v>
      </c>
      <c r="E6" s="13">
        <f xml:space="preserve"> (ROW()-ROW(E$1)+1)*首页!$B$2</f>
        <v>2400</v>
      </c>
      <c r="F6" s="12" t="s">
        <v>1706</v>
      </c>
      <c r="G6" s="13">
        <f xml:space="preserve"> (ROW()-ROW(G$1)+1)*首页!$F$2</f>
        <v>246</v>
      </c>
      <c r="H6" s="12" t="s">
        <v>1682</v>
      </c>
      <c r="I6" s="13">
        <f xml:space="preserve"> ROUND((ROW()-ROW(I$1)+1)*首页!$G$2,2)</f>
        <v>0.66</v>
      </c>
      <c r="J6" s="12" t="s">
        <v>1658</v>
      </c>
      <c r="K6" s="13">
        <f xml:space="preserve"> ROUNDUP(E6/(首页!$D$2-MIN(LN(ROW()-ROW(K$1)+1)/LN(25)*(首页!$D$2-首页!$E$2),(首页!$D$2-首页!$E$2))),0)</f>
        <v>19</v>
      </c>
    </row>
    <row r="7" spans="1:11" outlineLevel="1" x14ac:dyDescent="0.3">
      <c r="A7" s="56">
        <v>7</v>
      </c>
      <c r="B7" s="4" t="s">
        <v>1946</v>
      </c>
      <c r="C7" s="12" t="s">
        <v>9</v>
      </c>
      <c r="D7" s="12" t="s">
        <v>1731</v>
      </c>
      <c r="E7" s="13">
        <f xml:space="preserve"> (ROW()-ROW(E$1)+1)*首页!$B$2</f>
        <v>2800</v>
      </c>
      <c r="F7" s="12" t="s">
        <v>1707</v>
      </c>
      <c r="G7" s="13">
        <f xml:space="preserve"> (ROW()-ROW(G$1)+1)*首页!$F$2</f>
        <v>287</v>
      </c>
      <c r="H7" s="12" t="s">
        <v>1683</v>
      </c>
      <c r="I7" s="13">
        <f xml:space="preserve"> ROUND((ROW()-ROW(I$1)+1)*首页!$G$2,2)</f>
        <v>0.77</v>
      </c>
      <c r="J7" s="12" t="s">
        <v>1659</v>
      </c>
      <c r="K7" s="13">
        <f xml:space="preserve"> ROUNDUP(E7/(首页!$D$2-MIN(LN(ROW()-ROW(K$1)+1)/LN(25)*(首页!$D$2-首页!$E$2),(首页!$D$2-首页!$E$2))),0)</f>
        <v>22</v>
      </c>
    </row>
    <row r="8" spans="1:11" outlineLevel="1" x14ac:dyDescent="0.3">
      <c r="A8" s="56">
        <v>8</v>
      </c>
      <c r="B8" s="4" t="s">
        <v>1946</v>
      </c>
      <c r="C8" s="12" t="s">
        <v>10</v>
      </c>
      <c r="D8" s="12" t="s">
        <v>1732</v>
      </c>
      <c r="E8" s="13">
        <f xml:space="preserve"> (ROW()-ROW(E$1)+1)*首页!$B$2</f>
        <v>3200</v>
      </c>
      <c r="F8" s="12" t="s">
        <v>1708</v>
      </c>
      <c r="G8" s="13">
        <f xml:space="preserve"> (ROW()-ROW(G$1)+1)*首页!$F$2</f>
        <v>328</v>
      </c>
      <c r="H8" s="12" t="s">
        <v>1684</v>
      </c>
      <c r="I8" s="13">
        <f xml:space="preserve"> ROUND((ROW()-ROW(I$1)+1)*首页!$G$2,2)</f>
        <v>0.88</v>
      </c>
      <c r="J8" s="12" t="s">
        <v>1660</v>
      </c>
      <c r="K8" s="13">
        <f xml:space="preserve"> ROUNDUP(E8/(首页!$D$2-MIN(LN(ROW()-ROW(K$1)+1)/LN(25)*(首页!$D$2-首页!$E$2),(首页!$D$2-首页!$E$2))),0)</f>
        <v>27</v>
      </c>
    </row>
    <row r="9" spans="1:11" outlineLevel="1" x14ac:dyDescent="0.3">
      <c r="A9" s="56">
        <v>9</v>
      </c>
      <c r="B9" s="4" t="s">
        <v>1946</v>
      </c>
      <c r="C9" s="12" t="s">
        <v>11</v>
      </c>
      <c r="D9" s="12" t="s">
        <v>1733</v>
      </c>
      <c r="E9" s="13">
        <f xml:space="preserve"> (ROW()-ROW(E$1)+1)*首页!$B$2</f>
        <v>3600</v>
      </c>
      <c r="F9" s="12" t="s">
        <v>1709</v>
      </c>
      <c r="G9" s="13">
        <f xml:space="preserve"> (ROW()-ROW(G$1)+1)*首页!$F$2</f>
        <v>369</v>
      </c>
      <c r="H9" s="12" t="s">
        <v>1685</v>
      </c>
      <c r="I9" s="13">
        <f xml:space="preserve"> ROUND((ROW()-ROW(I$1)+1)*首页!$G$2,2)</f>
        <v>0.99</v>
      </c>
      <c r="J9" s="12" t="s">
        <v>1661</v>
      </c>
      <c r="K9" s="13">
        <f xml:space="preserve"> ROUNDUP(E9/(首页!$D$2-MIN(LN(ROW()-ROW(K$1)+1)/LN(25)*(首页!$D$2-首页!$E$2),(首页!$D$2-首页!$E$2))),0)</f>
        <v>31</v>
      </c>
    </row>
    <row r="10" spans="1:11" outlineLevel="1" x14ac:dyDescent="0.3">
      <c r="A10" s="56">
        <v>10</v>
      </c>
      <c r="B10" s="4" t="s">
        <v>1946</v>
      </c>
      <c r="C10" s="12" t="s">
        <v>12</v>
      </c>
      <c r="D10" s="12" t="s">
        <v>1734</v>
      </c>
      <c r="E10" s="13">
        <f xml:space="preserve"> (ROW()-ROW(E$1)+1)*首页!$B$2</f>
        <v>4000</v>
      </c>
      <c r="F10" s="12" t="s">
        <v>1710</v>
      </c>
      <c r="G10" s="13">
        <f xml:space="preserve"> (ROW()-ROW(G$1)+1)*首页!$F$2</f>
        <v>410</v>
      </c>
      <c r="H10" s="12" t="s">
        <v>1686</v>
      </c>
      <c r="I10" s="13">
        <f xml:space="preserve"> ROUND((ROW()-ROW(I$1)+1)*首页!$G$2,2)</f>
        <v>1.1000000000000001</v>
      </c>
      <c r="J10" s="12" t="s">
        <v>1662</v>
      </c>
      <c r="K10" s="13">
        <f xml:space="preserve"> ROUNDUP(E10/(首页!$D$2-MIN(LN(ROW()-ROW(K$1)+1)/LN(25)*(首页!$D$2-首页!$E$2),(首页!$D$2-首页!$E$2))),0)</f>
        <v>36</v>
      </c>
    </row>
    <row r="11" spans="1:11" outlineLevel="1" x14ac:dyDescent="0.3">
      <c r="A11" s="56">
        <v>11</v>
      </c>
      <c r="B11" s="4" t="s">
        <v>1946</v>
      </c>
      <c r="C11" s="12" t="s">
        <v>13</v>
      </c>
      <c r="D11" s="12" t="s">
        <v>1735</v>
      </c>
      <c r="E11" s="13">
        <f xml:space="preserve"> (ROW()-ROW(E$1)+1)*首页!$B$2</f>
        <v>4400</v>
      </c>
      <c r="F11" s="12" t="s">
        <v>1711</v>
      </c>
      <c r="G11" s="13">
        <f xml:space="preserve"> (ROW()-ROW(G$1)+1)*首页!$F$2</f>
        <v>451</v>
      </c>
      <c r="H11" s="12" t="s">
        <v>1687</v>
      </c>
      <c r="I11" s="13">
        <f xml:space="preserve"> ROUND((ROW()-ROW(I$1)+1)*首页!$G$2,2)</f>
        <v>1.21</v>
      </c>
      <c r="J11" s="12" t="s">
        <v>1663</v>
      </c>
      <c r="K11" s="13">
        <f xml:space="preserve"> ROUNDUP(E11/(首页!$D$2-MIN(LN(ROW()-ROW(K$1)+1)/LN(25)*(首页!$D$2-首页!$E$2),(首页!$D$2-首页!$E$2))),0)</f>
        <v>40</v>
      </c>
    </row>
    <row r="12" spans="1:11" outlineLevel="1" x14ac:dyDescent="0.3">
      <c r="A12" s="56">
        <v>12</v>
      </c>
      <c r="B12" s="4" t="s">
        <v>1946</v>
      </c>
      <c r="C12" s="12" t="s">
        <v>14</v>
      </c>
      <c r="D12" s="12" t="s">
        <v>1736</v>
      </c>
      <c r="E12" s="13">
        <f xml:space="preserve"> (ROW()-ROW(E$1)+1)*首页!$B$2</f>
        <v>4800</v>
      </c>
      <c r="F12" s="12" t="s">
        <v>1712</v>
      </c>
      <c r="G12" s="13">
        <f xml:space="preserve"> (ROW()-ROW(G$1)+1)*首页!$F$2</f>
        <v>492</v>
      </c>
      <c r="H12" s="12" t="s">
        <v>1688</v>
      </c>
      <c r="I12" s="13">
        <f xml:space="preserve"> ROUND((ROW()-ROW(I$1)+1)*首页!$G$2,2)</f>
        <v>1.32</v>
      </c>
      <c r="J12" s="12" t="s">
        <v>1664</v>
      </c>
      <c r="K12" s="13">
        <f xml:space="preserve"> ROUNDUP(E12/(首页!$D$2-MIN(LN(ROW()-ROW(K$1)+1)/LN(25)*(首页!$D$2-首页!$E$2),(首页!$D$2-首页!$E$2))),0)</f>
        <v>45</v>
      </c>
    </row>
    <row r="13" spans="1:11" outlineLevel="1" x14ac:dyDescent="0.3">
      <c r="A13" s="56">
        <v>13</v>
      </c>
      <c r="B13" s="4" t="s">
        <v>1946</v>
      </c>
      <c r="C13" s="12" t="s">
        <v>15</v>
      </c>
      <c r="D13" s="12" t="s">
        <v>1737</v>
      </c>
      <c r="E13" s="13">
        <f xml:space="preserve"> (ROW()-ROW(E$1)+1)*首页!$B$2</f>
        <v>5200</v>
      </c>
      <c r="F13" s="12" t="s">
        <v>1713</v>
      </c>
      <c r="G13" s="13">
        <f xml:space="preserve"> (ROW()-ROW(G$1)+1)*首页!$F$2</f>
        <v>533</v>
      </c>
      <c r="H13" s="12" t="s">
        <v>1689</v>
      </c>
      <c r="I13" s="13">
        <f xml:space="preserve"> ROUND((ROW()-ROW(I$1)+1)*首页!$G$2,2)</f>
        <v>1.43</v>
      </c>
      <c r="J13" s="12" t="s">
        <v>1665</v>
      </c>
      <c r="K13" s="13">
        <f xml:space="preserve"> ROUNDUP(E13/(首页!$D$2-MIN(LN(ROW()-ROW(K$1)+1)/LN(25)*(首页!$D$2-首页!$E$2),(首页!$D$2-首页!$E$2))),0)</f>
        <v>50</v>
      </c>
    </row>
    <row r="14" spans="1:11" outlineLevel="1" x14ac:dyDescent="0.3">
      <c r="A14" s="56">
        <v>14</v>
      </c>
      <c r="B14" s="4" t="s">
        <v>1946</v>
      </c>
      <c r="C14" s="12" t="s">
        <v>16</v>
      </c>
      <c r="D14" s="12" t="s">
        <v>1738</v>
      </c>
      <c r="E14" s="13">
        <f xml:space="preserve"> (ROW()-ROW(E$1)+1)*首页!$B$2</f>
        <v>5600</v>
      </c>
      <c r="F14" s="12" t="s">
        <v>1714</v>
      </c>
      <c r="G14" s="13">
        <f xml:space="preserve"> (ROW()-ROW(G$1)+1)*首页!$F$2</f>
        <v>574</v>
      </c>
      <c r="H14" s="12" t="s">
        <v>1690</v>
      </c>
      <c r="I14" s="13">
        <f xml:space="preserve"> ROUND((ROW()-ROW(I$1)+1)*首页!$G$2,2)</f>
        <v>1.54</v>
      </c>
      <c r="J14" s="12" t="s">
        <v>1666</v>
      </c>
      <c r="K14" s="13">
        <f xml:space="preserve"> ROUNDUP(E14/(首页!$D$2-MIN(LN(ROW()-ROW(K$1)+1)/LN(25)*(首页!$D$2-首页!$E$2),(首页!$D$2-首页!$E$2))),0)</f>
        <v>56</v>
      </c>
    </row>
    <row r="15" spans="1:11" outlineLevel="1" x14ac:dyDescent="0.3">
      <c r="A15" s="56">
        <v>15</v>
      </c>
      <c r="B15" s="4" t="s">
        <v>1946</v>
      </c>
      <c r="C15" s="12" t="s">
        <v>17</v>
      </c>
      <c r="D15" s="12" t="s">
        <v>1739</v>
      </c>
      <c r="E15" s="13">
        <f xml:space="preserve"> (ROW()-ROW(E$1)+1)*首页!$B$2</f>
        <v>6000</v>
      </c>
      <c r="F15" s="12" t="s">
        <v>1715</v>
      </c>
      <c r="G15" s="13">
        <f xml:space="preserve"> (ROW()-ROW(G$1)+1)*首页!$F$2</f>
        <v>615</v>
      </c>
      <c r="H15" s="12" t="s">
        <v>1691</v>
      </c>
      <c r="I15" s="13">
        <f xml:space="preserve"> ROUND((ROW()-ROW(I$1)+1)*首页!$G$2,2)</f>
        <v>1.65</v>
      </c>
      <c r="J15" s="12" t="s">
        <v>1667</v>
      </c>
      <c r="K15" s="13">
        <f xml:space="preserve"> ROUNDUP(E15/(首页!$D$2-MIN(LN(ROW()-ROW(K$1)+1)/LN(25)*(首页!$D$2-首页!$E$2),(首页!$D$2-首页!$E$2))),0)</f>
        <v>61</v>
      </c>
    </row>
    <row r="16" spans="1:11" outlineLevel="1" x14ac:dyDescent="0.3">
      <c r="A16" s="56">
        <v>16</v>
      </c>
      <c r="B16" s="4" t="s">
        <v>1946</v>
      </c>
      <c r="C16" s="12" t="s">
        <v>18</v>
      </c>
      <c r="D16" s="12" t="s">
        <v>1740</v>
      </c>
      <c r="E16" s="13">
        <f xml:space="preserve"> (ROW()-ROW(E$1)+1)*首页!$B$2</f>
        <v>6400</v>
      </c>
      <c r="F16" s="12" t="s">
        <v>1716</v>
      </c>
      <c r="G16" s="13">
        <f xml:space="preserve"> (ROW()-ROW(G$1)+1)*首页!$F$2</f>
        <v>656</v>
      </c>
      <c r="H16" s="12" t="s">
        <v>1692</v>
      </c>
      <c r="I16" s="13">
        <f xml:space="preserve"> ROUND((ROW()-ROW(I$1)+1)*首页!$G$2,2)</f>
        <v>1.76</v>
      </c>
      <c r="J16" s="12" t="s">
        <v>1668</v>
      </c>
      <c r="K16" s="13">
        <f xml:space="preserve"> ROUNDUP(E16/(首页!$D$2-MIN(LN(ROW()-ROW(K$1)+1)/LN(25)*(首页!$D$2-首页!$E$2),(首页!$D$2-首页!$E$2))),0)</f>
        <v>67</v>
      </c>
    </row>
    <row r="17" spans="1:11" outlineLevel="1" x14ac:dyDescent="0.3">
      <c r="A17" s="56">
        <v>17</v>
      </c>
      <c r="B17" s="4" t="s">
        <v>1946</v>
      </c>
      <c r="C17" s="12" t="s">
        <v>19</v>
      </c>
      <c r="D17" s="12" t="s">
        <v>1741</v>
      </c>
      <c r="E17" s="13">
        <f xml:space="preserve"> (ROW()-ROW(E$1)+1)*首页!$B$2</f>
        <v>6800</v>
      </c>
      <c r="F17" s="12" t="s">
        <v>1717</v>
      </c>
      <c r="G17" s="13">
        <f xml:space="preserve"> (ROW()-ROW(G$1)+1)*首页!$F$2</f>
        <v>697</v>
      </c>
      <c r="H17" s="12" t="s">
        <v>1693</v>
      </c>
      <c r="I17" s="13">
        <f xml:space="preserve"> ROUND((ROW()-ROW(I$1)+1)*首页!$G$2,2)</f>
        <v>1.87</v>
      </c>
      <c r="J17" s="12" t="s">
        <v>1669</v>
      </c>
      <c r="K17" s="13">
        <f xml:space="preserve"> ROUNDUP(E17/(首页!$D$2-MIN(LN(ROW()-ROW(K$1)+1)/LN(25)*(首页!$D$2-首页!$E$2),(首页!$D$2-首页!$E$2))),0)</f>
        <v>73</v>
      </c>
    </row>
    <row r="18" spans="1:11" outlineLevel="1" x14ac:dyDescent="0.3">
      <c r="A18" s="56">
        <v>18</v>
      </c>
      <c r="B18" s="4" t="s">
        <v>1946</v>
      </c>
      <c r="C18" s="12" t="s">
        <v>20</v>
      </c>
      <c r="D18" s="12" t="s">
        <v>1742</v>
      </c>
      <c r="E18" s="13">
        <f xml:space="preserve"> (ROW()-ROW(E$1)+1)*首页!$B$2</f>
        <v>7200</v>
      </c>
      <c r="F18" s="12" t="s">
        <v>1718</v>
      </c>
      <c r="G18" s="13">
        <f xml:space="preserve"> (ROW()-ROW(G$1)+1)*首页!$F$2</f>
        <v>738</v>
      </c>
      <c r="H18" s="12" t="s">
        <v>1694</v>
      </c>
      <c r="I18" s="13">
        <f xml:space="preserve"> ROUND((ROW()-ROW(I$1)+1)*首页!$G$2,2)</f>
        <v>1.98</v>
      </c>
      <c r="J18" s="12" t="s">
        <v>1670</v>
      </c>
      <c r="K18" s="13">
        <f xml:space="preserve"> ROUNDUP(E18/(首页!$D$2-MIN(LN(ROW()-ROW(K$1)+1)/LN(25)*(首页!$D$2-首页!$E$2),(首页!$D$2-首页!$E$2))),0)</f>
        <v>79</v>
      </c>
    </row>
    <row r="19" spans="1:11" outlineLevel="1" x14ac:dyDescent="0.3">
      <c r="A19" s="56">
        <v>19</v>
      </c>
      <c r="B19" s="4" t="s">
        <v>1946</v>
      </c>
      <c r="C19" s="12" t="s">
        <v>21</v>
      </c>
      <c r="D19" s="12" t="s">
        <v>1743</v>
      </c>
      <c r="E19" s="13">
        <f xml:space="preserve"> (ROW()-ROW(E$1)+1)*首页!$B$2</f>
        <v>7600</v>
      </c>
      <c r="F19" s="12" t="s">
        <v>1719</v>
      </c>
      <c r="G19" s="13">
        <f xml:space="preserve"> (ROW()-ROW(G$1)+1)*首页!$F$2</f>
        <v>779</v>
      </c>
      <c r="H19" s="12" t="s">
        <v>1695</v>
      </c>
      <c r="I19" s="13">
        <f xml:space="preserve"> ROUND((ROW()-ROW(I$1)+1)*首页!$G$2,2)</f>
        <v>2.09</v>
      </c>
      <c r="J19" s="12" t="s">
        <v>1671</v>
      </c>
      <c r="K19" s="13">
        <f xml:space="preserve"> ROUNDUP(E19/(首页!$D$2-MIN(LN(ROW()-ROW(K$1)+1)/LN(25)*(首页!$D$2-首页!$E$2),(首页!$D$2-首页!$E$2))),0)</f>
        <v>85</v>
      </c>
    </row>
    <row r="20" spans="1:11" outlineLevel="1" x14ac:dyDescent="0.3">
      <c r="A20" s="56">
        <v>20</v>
      </c>
      <c r="B20" s="4" t="s">
        <v>1946</v>
      </c>
      <c r="C20" s="12" t="s">
        <v>22</v>
      </c>
      <c r="D20" s="12" t="s">
        <v>1744</v>
      </c>
      <c r="E20" s="13">
        <f xml:space="preserve"> (ROW()-ROW(E$1)+1)*首页!$B$2</f>
        <v>8000</v>
      </c>
      <c r="F20" s="12" t="s">
        <v>1720</v>
      </c>
      <c r="G20" s="13">
        <f xml:space="preserve"> (ROW()-ROW(G$1)+1)*首页!$F$2</f>
        <v>820</v>
      </c>
      <c r="H20" s="12" t="s">
        <v>1696</v>
      </c>
      <c r="I20" s="13">
        <f xml:space="preserve"> ROUND((ROW()-ROW(I$1)+1)*首页!$G$2,2)</f>
        <v>2.2000000000000002</v>
      </c>
      <c r="J20" s="12" t="s">
        <v>1672</v>
      </c>
      <c r="K20" s="13">
        <f xml:space="preserve"> ROUNDUP(E20/(首页!$D$2-MIN(LN(ROW()-ROW(K$1)+1)/LN(25)*(首页!$D$2-首页!$E$2),(首页!$D$2-首页!$E$2))),0)</f>
        <v>91</v>
      </c>
    </row>
    <row r="21" spans="1:11" outlineLevel="1" x14ac:dyDescent="0.3">
      <c r="A21" s="56">
        <v>21</v>
      </c>
      <c r="B21" s="4" t="s">
        <v>1946</v>
      </c>
      <c r="C21" s="12" t="s">
        <v>23</v>
      </c>
      <c r="D21" s="12" t="s">
        <v>1745</v>
      </c>
      <c r="E21" s="13">
        <f xml:space="preserve"> (ROW()-ROW(E$1)+1)*首页!$B$2</f>
        <v>8400</v>
      </c>
      <c r="F21" s="12" t="s">
        <v>1721</v>
      </c>
      <c r="G21" s="13">
        <f xml:space="preserve"> (ROW()-ROW(G$1)+1)*首页!$F$2</f>
        <v>861</v>
      </c>
      <c r="H21" s="12" t="s">
        <v>1697</v>
      </c>
      <c r="I21" s="13">
        <f xml:space="preserve"> ROUND((ROW()-ROW(I$1)+1)*首页!$G$2,2)</f>
        <v>2.31</v>
      </c>
      <c r="J21" s="12" t="s">
        <v>1673</v>
      </c>
      <c r="K21" s="13">
        <f xml:space="preserve"> ROUNDUP(E21/(首页!$D$2-MIN(LN(ROW()-ROW(K$1)+1)/LN(25)*(首页!$D$2-首页!$E$2),(首页!$D$2-首页!$E$2))),0)</f>
        <v>98</v>
      </c>
    </row>
    <row r="22" spans="1:11" outlineLevel="1" x14ac:dyDescent="0.3">
      <c r="A22" s="56">
        <v>22</v>
      </c>
      <c r="B22" s="4" t="s">
        <v>1946</v>
      </c>
      <c r="C22" s="12" t="s">
        <v>24</v>
      </c>
      <c r="D22" s="12" t="s">
        <v>1746</v>
      </c>
      <c r="E22" s="13">
        <f xml:space="preserve"> (ROW()-ROW(E$1)+1)*首页!$B$2</f>
        <v>8800</v>
      </c>
      <c r="F22" s="12" t="s">
        <v>1722</v>
      </c>
      <c r="G22" s="13">
        <f xml:space="preserve"> (ROW()-ROW(G$1)+1)*首页!$F$2</f>
        <v>902</v>
      </c>
      <c r="H22" s="12" t="s">
        <v>1698</v>
      </c>
      <c r="I22" s="13">
        <f xml:space="preserve"> ROUND((ROW()-ROW(I$1)+1)*首页!$G$2,2)</f>
        <v>2.42</v>
      </c>
      <c r="J22" s="12" t="s">
        <v>1674</v>
      </c>
      <c r="K22" s="13">
        <f xml:space="preserve"> ROUNDUP(E22/(首页!$D$2-MIN(LN(ROW()-ROW(K$1)+1)/LN(25)*(首页!$D$2-首页!$E$2),(首页!$D$2-首页!$E$2))),0)</f>
        <v>104</v>
      </c>
    </row>
    <row r="23" spans="1:11" outlineLevel="1" x14ac:dyDescent="0.3">
      <c r="A23" s="56">
        <v>23</v>
      </c>
      <c r="B23" s="4" t="s">
        <v>1946</v>
      </c>
      <c r="C23" s="12" t="s">
        <v>25</v>
      </c>
      <c r="D23" s="12" t="s">
        <v>1747</v>
      </c>
      <c r="E23" s="13">
        <f xml:space="preserve"> (ROW()-ROW(E$1)+1)*首页!$B$2</f>
        <v>9200</v>
      </c>
      <c r="F23" s="12" t="s">
        <v>1723</v>
      </c>
      <c r="G23" s="13">
        <f xml:space="preserve"> (ROW()-ROW(G$1)+1)*首页!$F$2</f>
        <v>943</v>
      </c>
      <c r="H23" s="12" t="s">
        <v>1699</v>
      </c>
      <c r="I23" s="13">
        <f xml:space="preserve"> ROUND((ROW()-ROW(I$1)+1)*首页!$G$2,2)</f>
        <v>2.5299999999999998</v>
      </c>
      <c r="J23" s="12" t="s">
        <v>1675</v>
      </c>
      <c r="K23" s="13">
        <f xml:space="preserve"> ROUNDUP(E23/(首页!$D$2-MIN(LN(ROW()-ROW(K$1)+1)/LN(25)*(首页!$D$2-首页!$E$2),(首页!$D$2-首页!$E$2))),0)</f>
        <v>111</v>
      </c>
    </row>
    <row r="24" spans="1:11" outlineLevel="1" x14ac:dyDescent="0.3">
      <c r="A24" s="56">
        <v>24</v>
      </c>
      <c r="B24" s="4" t="s">
        <v>1946</v>
      </c>
      <c r="C24" s="12" t="s">
        <v>26</v>
      </c>
      <c r="D24" s="12" t="s">
        <v>1748</v>
      </c>
      <c r="E24" s="13">
        <f xml:space="preserve"> (ROW()-ROW(E$1)+1)*首页!$B$2</f>
        <v>9600</v>
      </c>
      <c r="F24" s="12" t="s">
        <v>1724</v>
      </c>
      <c r="G24" s="13">
        <f xml:space="preserve"> (ROW()-ROW(G$1)+1)*首页!$F$2</f>
        <v>984</v>
      </c>
      <c r="H24" s="12" t="s">
        <v>1700</v>
      </c>
      <c r="I24" s="13">
        <f xml:space="preserve"> ROUND((ROW()-ROW(I$1)+1)*首页!$G$2,2)</f>
        <v>2.64</v>
      </c>
      <c r="J24" s="12" t="s">
        <v>1676</v>
      </c>
      <c r="K24" s="13">
        <f xml:space="preserve"> ROUNDUP(E24/(首页!$D$2-MIN(LN(ROW()-ROW(K$1)+1)/LN(25)*(首页!$D$2-首页!$E$2),(首页!$D$2-首页!$E$2))),0)</f>
        <v>118</v>
      </c>
    </row>
    <row r="25" spans="1:11" outlineLevel="1" x14ac:dyDescent="0.3">
      <c r="A25" s="56">
        <v>25</v>
      </c>
      <c r="B25" s="4" t="s">
        <v>1946</v>
      </c>
      <c r="C25" s="23" t="s">
        <v>27</v>
      </c>
      <c r="D25" s="23" t="s">
        <v>1749</v>
      </c>
      <c r="E25" s="24">
        <f xml:space="preserve"> (ROW()-ROW(E$1)+1)*首页!$B$2</f>
        <v>10000</v>
      </c>
      <c r="F25" s="23" t="s">
        <v>1725</v>
      </c>
      <c r="G25" s="24">
        <f xml:space="preserve"> (ROW()-ROW(G$1)+1)*首页!$F$2</f>
        <v>1025</v>
      </c>
      <c r="H25" s="23" t="s">
        <v>1701</v>
      </c>
      <c r="I25" s="24">
        <f xml:space="preserve"> ROUND((ROW()-ROW(I$1)+1)*首页!$G$2,2)</f>
        <v>2.75</v>
      </c>
      <c r="J25" s="23" t="s">
        <v>1677</v>
      </c>
      <c r="K25" s="24">
        <f xml:space="preserve"> ROUNDUP(E25/(首页!$D$2-MIN(LN(ROW()-ROW(K$1)+1)/LN(25)*(首页!$D$2-首页!$E$2),(首页!$D$2-首页!$E$2))),0)</f>
        <v>125</v>
      </c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outlineLevel="1" x14ac:dyDescent="0.3">
      <c r="A27" s="56" t="s">
        <v>2059</v>
      </c>
      <c r="B27" s="7" t="s">
        <v>1945</v>
      </c>
      <c r="C27" s="7" t="s">
        <v>0</v>
      </c>
      <c r="D27" s="2" t="s">
        <v>1</v>
      </c>
      <c r="E27" s="8" t="s">
        <v>1944</v>
      </c>
      <c r="F27" s="2" t="s">
        <v>154</v>
      </c>
      <c r="G27" s="8" t="s">
        <v>1944</v>
      </c>
      <c r="H27" s="2" t="s">
        <v>1918</v>
      </c>
      <c r="I27" s="8" t="s">
        <v>1944</v>
      </c>
      <c r="J27" s="2" t="s">
        <v>3</v>
      </c>
      <c r="K27" s="8" t="s">
        <v>1944</v>
      </c>
    </row>
    <row r="28" spans="1:11" outlineLevel="1" x14ac:dyDescent="0.3">
      <c r="A28" s="56">
        <v>2</v>
      </c>
      <c r="B28" s="8" t="s">
        <v>1947</v>
      </c>
      <c r="C28" s="2" t="s">
        <v>28</v>
      </c>
      <c r="D28" s="2" t="s">
        <v>1798</v>
      </c>
      <c r="E28" s="8">
        <f>(ROW()-ROW(E$27)+1)*首页!$B$3</f>
        <v>2400</v>
      </c>
      <c r="F28" s="2" t="s">
        <v>1894</v>
      </c>
      <c r="G28" s="8">
        <f xml:space="preserve"> (ROW()-ROW(E$27)+1)*首页!$F$3</f>
        <v>206</v>
      </c>
      <c r="H28" s="2" t="s">
        <v>1919</v>
      </c>
      <c r="I28" s="8">
        <f xml:space="preserve"> ROUND((ROW()-ROW(I$27)+1)*首页!$G$3,2)</f>
        <v>0.44</v>
      </c>
      <c r="J28" s="2" t="s">
        <v>1950</v>
      </c>
      <c r="K28" s="8">
        <f>ROUNDUP(E28/(首页!$D$3-MIN(LN(ROW()-ROW(K$27)+1)/LN(25)*(首页!$D$3-首页!$E$3),(首页!$D$3-首页!$E$3))),0)</f>
        <v>14</v>
      </c>
    </row>
    <row r="29" spans="1:11" outlineLevel="1" x14ac:dyDescent="0.3">
      <c r="A29" s="56">
        <v>3</v>
      </c>
      <c r="B29" s="15" t="s">
        <v>1947</v>
      </c>
      <c r="C29" s="14" t="s">
        <v>29</v>
      </c>
      <c r="D29" s="14" t="s">
        <v>1799</v>
      </c>
      <c r="E29" s="15">
        <f>(ROW()-ROW(E$27)+1)*首页!$B$3</f>
        <v>3600</v>
      </c>
      <c r="F29" s="14" t="s">
        <v>1895</v>
      </c>
      <c r="G29" s="15">
        <f xml:space="preserve"> (ROW()-ROW(E$27)+1)*首页!$F$3</f>
        <v>309</v>
      </c>
      <c r="H29" s="14" t="s">
        <v>1920</v>
      </c>
      <c r="I29" s="15">
        <f xml:space="preserve"> ROUND((ROW()-ROW(I$27)+1)*首页!$G$3,2)</f>
        <v>0.66</v>
      </c>
      <c r="J29" s="14" t="s">
        <v>1951</v>
      </c>
      <c r="K29" s="15">
        <f>ROUNDUP(E29/(首页!$D$3-MIN(LN(ROW()-ROW(K$27)+1)/LN(25)*(首页!$D$3-首页!$E$3),(首页!$D$3-首页!$E$3))),0)</f>
        <v>23</v>
      </c>
    </row>
    <row r="30" spans="1:11" outlineLevel="1" x14ac:dyDescent="0.3">
      <c r="A30" s="56">
        <v>4</v>
      </c>
      <c r="B30" s="15" t="s">
        <v>1947</v>
      </c>
      <c r="C30" s="14" t="s">
        <v>30</v>
      </c>
      <c r="D30" s="14" t="s">
        <v>1800</v>
      </c>
      <c r="E30" s="15">
        <f>(ROW()-ROW(E$27)+1)*首页!$B$3</f>
        <v>4800</v>
      </c>
      <c r="F30" s="14" t="s">
        <v>1896</v>
      </c>
      <c r="G30" s="15">
        <f xml:space="preserve"> (ROW()-ROW(E$27)+1)*首页!$F$3</f>
        <v>412</v>
      </c>
      <c r="H30" s="14" t="s">
        <v>1921</v>
      </c>
      <c r="I30" s="15">
        <f xml:space="preserve"> ROUND((ROW()-ROW(I$27)+1)*首页!$G$3,2)</f>
        <v>0.88</v>
      </c>
      <c r="J30" s="14" t="s">
        <v>1952</v>
      </c>
      <c r="K30" s="15">
        <f>ROUNDUP(E30/(首页!$D$3-MIN(LN(ROW()-ROW(K$27)+1)/LN(25)*(首页!$D$3-首页!$E$3),(首页!$D$3-首页!$E$3))),0)</f>
        <v>33</v>
      </c>
    </row>
    <row r="31" spans="1:11" outlineLevel="1" x14ac:dyDescent="0.3">
      <c r="A31" s="56">
        <v>5</v>
      </c>
      <c r="B31" s="15" t="s">
        <v>1947</v>
      </c>
      <c r="C31" s="14" t="s">
        <v>31</v>
      </c>
      <c r="D31" s="14" t="s">
        <v>1801</v>
      </c>
      <c r="E31" s="15">
        <f>(ROW()-ROW(E$27)+1)*首页!$B$3</f>
        <v>6000</v>
      </c>
      <c r="F31" s="14" t="s">
        <v>1897</v>
      </c>
      <c r="G31" s="15">
        <f xml:space="preserve"> (ROW()-ROW(E$27)+1)*首页!$F$3</f>
        <v>515</v>
      </c>
      <c r="H31" s="14" t="s">
        <v>1922</v>
      </c>
      <c r="I31" s="15">
        <f xml:space="preserve"> ROUND((ROW()-ROW(I$27)+1)*首页!$G$3,2)</f>
        <v>1.1000000000000001</v>
      </c>
      <c r="J31" s="14" t="s">
        <v>1953</v>
      </c>
      <c r="K31" s="15">
        <f>ROUNDUP(E31/(首页!$D$3-MIN(LN(ROW()-ROW(K$27)+1)/LN(25)*(首页!$D$3-首页!$E$3),(首页!$D$3-首页!$E$3))),0)</f>
        <v>43</v>
      </c>
    </row>
    <row r="32" spans="1:11" outlineLevel="1" x14ac:dyDescent="0.3">
      <c r="A32" s="56">
        <v>6</v>
      </c>
      <c r="B32" s="15" t="s">
        <v>1947</v>
      </c>
      <c r="C32" s="14" t="s">
        <v>32</v>
      </c>
      <c r="D32" s="14" t="s">
        <v>1802</v>
      </c>
      <c r="E32" s="15">
        <f>(ROW()-ROW(E$27)+1)*首页!$B$3</f>
        <v>7200</v>
      </c>
      <c r="F32" s="14" t="s">
        <v>1898</v>
      </c>
      <c r="G32" s="15">
        <f xml:space="preserve"> (ROW()-ROW(E$27)+1)*首页!$F$3</f>
        <v>618</v>
      </c>
      <c r="H32" s="14" t="s">
        <v>1923</v>
      </c>
      <c r="I32" s="15">
        <f xml:space="preserve"> ROUND((ROW()-ROW(I$27)+1)*首页!$G$3,2)</f>
        <v>1.32</v>
      </c>
      <c r="J32" s="14" t="s">
        <v>1954</v>
      </c>
      <c r="K32" s="15">
        <f>ROUNDUP(E32/(首页!$D$3-MIN(LN(ROW()-ROW(K$27)+1)/LN(25)*(首页!$D$3-首页!$E$3),(首页!$D$3-首页!$E$3))),0)</f>
        <v>55</v>
      </c>
    </row>
    <row r="33" spans="1:11" outlineLevel="1" x14ac:dyDescent="0.3">
      <c r="A33" s="56">
        <v>7</v>
      </c>
      <c r="B33" s="15" t="s">
        <v>1947</v>
      </c>
      <c r="C33" s="14" t="s">
        <v>33</v>
      </c>
      <c r="D33" s="14" t="s">
        <v>1803</v>
      </c>
      <c r="E33" s="15">
        <f>(ROW()-ROW(E$27)+1)*首页!$B$3</f>
        <v>8400</v>
      </c>
      <c r="F33" s="14" t="s">
        <v>1899</v>
      </c>
      <c r="G33" s="15">
        <f xml:space="preserve"> (ROW()-ROW(E$27)+1)*首页!$F$3</f>
        <v>721</v>
      </c>
      <c r="H33" s="14" t="s">
        <v>1924</v>
      </c>
      <c r="I33" s="15">
        <f xml:space="preserve"> ROUND((ROW()-ROW(I$27)+1)*首页!$G$3,2)</f>
        <v>1.54</v>
      </c>
      <c r="J33" s="14" t="s">
        <v>1955</v>
      </c>
      <c r="K33" s="15">
        <f>ROUNDUP(E33/(首页!$D$3-MIN(LN(ROW()-ROW(K$27)+1)/LN(25)*(首页!$D$3-首页!$E$3),(首页!$D$3-首页!$E$3))),0)</f>
        <v>66</v>
      </c>
    </row>
    <row r="34" spans="1:11" outlineLevel="1" x14ac:dyDescent="0.3">
      <c r="A34" s="56">
        <v>8</v>
      </c>
      <c r="B34" s="15" t="s">
        <v>1947</v>
      </c>
      <c r="C34" s="14" t="s">
        <v>34</v>
      </c>
      <c r="D34" s="14" t="s">
        <v>1804</v>
      </c>
      <c r="E34" s="15">
        <f>(ROW()-ROW(E$27)+1)*首页!$B$3</f>
        <v>9600</v>
      </c>
      <c r="F34" s="14" t="s">
        <v>1900</v>
      </c>
      <c r="G34" s="15">
        <f xml:space="preserve"> (ROW()-ROW(E$27)+1)*首页!$F$3</f>
        <v>824</v>
      </c>
      <c r="H34" s="14" t="s">
        <v>1925</v>
      </c>
      <c r="I34" s="15">
        <f xml:space="preserve"> ROUND((ROW()-ROW(I$27)+1)*首页!$G$3,2)</f>
        <v>1.76</v>
      </c>
      <c r="J34" s="14" t="s">
        <v>1956</v>
      </c>
      <c r="K34" s="15">
        <f>ROUNDUP(E34/(首页!$D$3-MIN(LN(ROW()-ROW(K$27)+1)/LN(25)*(首页!$D$3-首页!$E$3),(首页!$D$3-首页!$E$3))),0)</f>
        <v>79</v>
      </c>
    </row>
    <row r="35" spans="1:11" outlineLevel="1" x14ac:dyDescent="0.3">
      <c r="A35" s="56">
        <v>9</v>
      </c>
      <c r="B35" s="15" t="s">
        <v>1947</v>
      </c>
      <c r="C35" s="14" t="s">
        <v>35</v>
      </c>
      <c r="D35" s="14" t="s">
        <v>1805</v>
      </c>
      <c r="E35" s="15">
        <f>(ROW()-ROW(E$27)+1)*首页!$B$3</f>
        <v>10800</v>
      </c>
      <c r="F35" s="14" t="s">
        <v>1901</v>
      </c>
      <c r="G35" s="15">
        <f xml:space="preserve"> (ROW()-ROW(E$27)+1)*首页!$F$3</f>
        <v>927</v>
      </c>
      <c r="H35" s="14" t="s">
        <v>1926</v>
      </c>
      <c r="I35" s="15">
        <f xml:space="preserve"> ROUND((ROW()-ROW(I$27)+1)*首页!$G$3,2)</f>
        <v>1.98</v>
      </c>
      <c r="J35" s="14" t="s">
        <v>1957</v>
      </c>
      <c r="K35" s="15">
        <f>ROUNDUP(E35/(首页!$D$3-MIN(LN(ROW()-ROW(K$27)+1)/LN(25)*(首页!$D$3-首页!$E$3),(首页!$D$3-首页!$E$3))),0)</f>
        <v>92</v>
      </c>
    </row>
    <row r="36" spans="1:11" outlineLevel="1" x14ac:dyDescent="0.3">
      <c r="A36" s="56">
        <v>10</v>
      </c>
      <c r="B36" s="15" t="s">
        <v>1947</v>
      </c>
      <c r="C36" s="14" t="s">
        <v>36</v>
      </c>
      <c r="D36" s="14" t="s">
        <v>1806</v>
      </c>
      <c r="E36" s="15">
        <f>(ROW()-ROW(E$27)+1)*首页!$B$3</f>
        <v>12000</v>
      </c>
      <c r="F36" s="14" t="s">
        <v>1902</v>
      </c>
      <c r="G36" s="15">
        <f xml:space="preserve"> (ROW()-ROW(E$27)+1)*首页!$F$3</f>
        <v>1030</v>
      </c>
      <c r="H36" s="14" t="s">
        <v>1927</v>
      </c>
      <c r="I36" s="15">
        <f xml:space="preserve"> ROUND((ROW()-ROW(I$27)+1)*首页!$G$3,2)</f>
        <v>2.2000000000000002</v>
      </c>
      <c r="J36" s="14" t="s">
        <v>1958</v>
      </c>
      <c r="K36" s="15">
        <f>ROUNDUP(E36/(首页!$D$3-MIN(LN(ROW()-ROW(K$27)+1)/LN(25)*(首页!$D$3-首页!$E$3),(首页!$D$3-首页!$E$3))),0)</f>
        <v>106</v>
      </c>
    </row>
    <row r="37" spans="1:11" outlineLevel="1" x14ac:dyDescent="0.3">
      <c r="A37" s="56">
        <v>11</v>
      </c>
      <c r="B37" s="15" t="s">
        <v>1947</v>
      </c>
      <c r="C37" s="14" t="s">
        <v>37</v>
      </c>
      <c r="D37" s="14" t="s">
        <v>1807</v>
      </c>
      <c r="E37" s="15">
        <f>(ROW()-ROW(E$27)+1)*首页!$B$3</f>
        <v>13200</v>
      </c>
      <c r="F37" s="14" t="s">
        <v>1903</v>
      </c>
      <c r="G37" s="15">
        <f xml:space="preserve"> (ROW()-ROW(E$27)+1)*首页!$F$3</f>
        <v>1133</v>
      </c>
      <c r="H37" s="14" t="s">
        <v>1928</v>
      </c>
      <c r="I37" s="15">
        <f xml:space="preserve"> ROUND((ROW()-ROW(I$27)+1)*首页!$G$3,2)</f>
        <v>2.42</v>
      </c>
      <c r="J37" s="14" t="s">
        <v>1959</v>
      </c>
      <c r="K37" s="15">
        <f>ROUNDUP(E37/(首页!$D$3-MIN(LN(ROW()-ROW(K$27)+1)/LN(25)*(首页!$D$3-首页!$E$3),(首页!$D$3-首页!$E$3))),0)</f>
        <v>120</v>
      </c>
    </row>
    <row r="38" spans="1:11" outlineLevel="1" x14ac:dyDescent="0.3">
      <c r="A38" s="56">
        <v>12</v>
      </c>
      <c r="B38" s="15" t="s">
        <v>1947</v>
      </c>
      <c r="C38" s="14" t="s">
        <v>38</v>
      </c>
      <c r="D38" s="14" t="s">
        <v>1808</v>
      </c>
      <c r="E38" s="15">
        <f>(ROW()-ROW(E$27)+1)*首页!$B$3</f>
        <v>14400</v>
      </c>
      <c r="F38" s="14" t="s">
        <v>1904</v>
      </c>
      <c r="G38" s="15">
        <f xml:space="preserve"> (ROW()-ROW(E$27)+1)*首页!$F$3</f>
        <v>1236</v>
      </c>
      <c r="H38" s="14" t="s">
        <v>1929</v>
      </c>
      <c r="I38" s="15">
        <f xml:space="preserve"> ROUND((ROW()-ROW(I$27)+1)*首页!$G$3,2)</f>
        <v>2.64</v>
      </c>
      <c r="J38" s="14" t="s">
        <v>1960</v>
      </c>
      <c r="K38" s="15">
        <f>ROUNDUP(E38/(首页!$D$3-MIN(LN(ROW()-ROW(K$27)+1)/LN(25)*(首页!$D$3-首页!$E$3),(首页!$D$3-首页!$E$3))),0)</f>
        <v>135</v>
      </c>
    </row>
    <row r="39" spans="1:11" outlineLevel="1" x14ac:dyDescent="0.3">
      <c r="A39" s="56">
        <v>13</v>
      </c>
      <c r="B39" s="15" t="s">
        <v>1947</v>
      </c>
      <c r="C39" s="14" t="s">
        <v>39</v>
      </c>
      <c r="D39" s="14" t="s">
        <v>1809</v>
      </c>
      <c r="E39" s="15">
        <f>(ROW()-ROW(E$27)+1)*首页!$B$3</f>
        <v>15600</v>
      </c>
      <c r="F39" s="14" t="s">
        <v>1905</v>
      </c>
      <c r="G39" s="15">
        <f xml:space="preserve"> (ROW()-ROW(E$27)+1)*首页!$F$3</f>
        <v>1339</v>
      </c>
      <c r="H39" s="14" t="s">
        <v>1930</v>
      </c>
      <c r="I39" s="15">
        <f xml:space="preserve"> ROUND((ROW()-ROW(I$27)+1)*首页!$G$3,2)</f>
        <v>2.86</v>
      </c>
      <c r="J39" s="14" t="s">
        <v>1961</v>
      </c>
      <c r="K39" s="15">
        <f>ROUNDUP(E39/(首页!$D$3-MIN(LN(ROW()-ROW(K$27)+1)/LN(25)*(首页!$D$3-首页!$E$3),(首页!$D$3-首页!$E$3))),0)</f>
        <v>150</v>
      </c>
    </row>
    <row r="40" spans="1:11" outlineLevel="1" x14ac:dyDescent="0.3">
      <c r="A40" s="56">
        <v>14</v>
      </c>
      <c r="B40" s="15" t="s">
        <v>1947</v>
      </c>
      <c r="C40" s="14" t="s">
        <v>40</v>
      </c>
      <c r="D40" s="14" t="s">
        <v>1810</v>
      </c>
      <c r="E40" s="15">
        <f>(ROW()-ROW(E$27)+1)*首页!$B$3</f>
        <v>16800</v>
      </c>
      <c r="F40" s="14" t="s">
        <v>1906</v>
      </c>
      <c r="G40" s="15">
        <f xml:space="preserve"> (ROW()-ROW(E$27)+1)*首页!$F$3</f>
        <v>1442</v>
      </c>
      <c r="H40" s="14" t="s">
        <v>1931</v>
      </c>
      <c r="I40" s="15">
        <f xml:space="preserve"> ROUND((ROW()-ROW(I$27)+1)*首页!$G$3,2)</f>
        <v>3.08</v>
      </c>
      <c r="J40" s="14" t="s">
        <v>1962</v>
      </c>
      <c r="K40" s="15">
        <f>ROUNDUP(E40/(首页!$D$3-MIN(LN(ROW()-ROW(K$27)+1)/LN(25)*(首页!$D$3-首页!$E$3),(首页!$D$3-首页!$E$3))),0)</f>
        <v>166</v>
      </c>
    </row>
    <row r="41" spans="1:11" outlineLevel="1" x14ac:dyDescent="0.3">
      <c r="A41" s="56">
        <v>15</v>
      </c>
      <c r="B41" s="15" t="s">
        <v>1947</v>
      </c>
      <c r="C41" s="14" t="s">
        <v>41</v>
      </c>
      <c r="D41" s="14" t="s">
        <v>1811</v>
      </c>
      <c r="E41" s="15">
        <f>(ROW()-ROW(E$27)+1)*首页!$B$3</f>
        <v>18000</v>
      </c>
      <c r="F41" s="14" t="s">
        <v>1907</v>
      </c>
      <c r="G41" s="15">
        <f xml:space="preserve"> (ROW()-ROW(E$27)+1)*首页!$F$3</f>
        <v>1545</v>
      </c>
      <c r="H41" s="14" t="s">
        <v>1932</v>
      </c>
      <c r="I41" s="15">
        <f xml:space="preserve"> ROUND((ROW()-ROW(I$27)+1)*首页!$G$3,2)</f>
        <v>3.3</v>
      </c>
      <c r="J41" s="14" t="s">
        <v>1963</v>
      </c>
      <c r="K41" s="15">
        <f>ROUNDUP(E41/(首页!$D$3-MIN(LN(ROW()-ROW(K$27)+1)/LN(25)*(首页!$D$3-首页!$E$3),(首页!$D$3-首页!$E$3))),0)</f>
        <v>182</v>
      </c>
    </row>
    <row r="42" spans="1:11" outlineLevel="1" x14ac:dyDescent="0.3">
      <c r="A42" s="56">
        <v>16</v>
      </c>
      <c r="B42" s="15" t="s">
        <v>1947</v>
      </c>
      <c r="C42" s="14" t="s">
        <v>42</v>
      </c>
      <c r="D42" s="14" t="s">
        <v>1812</v>
      </c>
      <c r="E42" s="15">
        <f>(ROW()-ROW(E$27)+1)*首页!$B$3</f>
        <v>19200</v>
      </c>
      <c r="F42" s="14" t="s">
        <v>1908</v>
      </c>
      <c r="G42" s="15">
        <f xml:space="preserve"> (ROW()-ROW(E$27)+1)*首页!$F$3</f>
        <v>1648</v>
      </c>
      <c r="H42" s="14" t="s">
        <v>1933</v>
      </c>
      <c r="I42" s="15">
        <f xml:space="preserve"> ROUND((ROW()-ROW(I$27)+1)*首页!$G$3,2)</f>
        <v>3.52</v>
      </c>
      <c r="J42" s="14" t="s">
        <v>1964</v>
      </c>
      <c r="K42" s="15">
        <f>ROUNDUP(E42/(首页!$D$3-MIN(LN(ROW()-ROW(K$27)+1)/LN(25)*(首页!$D$3-首页!$E$3),(首页!$D$3-首页!$E$3))),0)</f>
        <v>199</v>
      </c>
    </row>
    <row r="43" spans="1:11" outlineLevel="1" x14ac:dyDescent="0.3">
      <c r="A43" s="56">
        <v>17</v>
      </c>
      <c r="B43" s="15" t="s">
        <v>1947</v>
      </c>
      <c r="C43" s="14" t="s">
        <v>43</v>
      </c>
      <c r="D43" s="14" t="s">
        <v>1813</v>
      </c>
      <c r="E43" s="15">
        <f>(ROW()-ROW(E$27)+1)*首页!$B$3</f>
        <v>20400</v>
      </c>
      <c r="F43" s="14" t="s">
        <v>1909</v>
      </c>
      <c r="G43" s="15">
        <f xml:space="preserve"> (ROW()-ROW(E$27)+1)*首页!$F$3</f>
        <v>1751</v>
      </c>
      <c r="H43" s="14" t="s">
        <v>1934</v>
      </c>
      <c r="I43" s="15">
        <f xml:space="preserve"> ROUND((ROW()-ROW(I$27)+1)*首页!$G$3,2)</f>
        <v>3.74</v>
      </c>
      <c r="J43" s="14" t="s">
        <v>1965</v>
      </c>
      <c r="K43" s="15">
        <f>ROUNDUP(E43/(首页!$D$3-MIN(LN(ROW()-ROW(K$27)+1)/LN(25)*(首页!$D$3-首页!$E$3),(首页!$D$3-首页!$E$3))),0)</f>
        <v>217</v>
      </c>
    </row>
    <row r="44" spans="1:11" outlineLevel="1" x14ac:dyDescent="0.3">
      <c r="A44" s="56">
        <v>18</v>
      </c>
      <c r="B44" s="15" t="s">
        <v>1947</v>
      </c>
      <c r="C44" s="14" t="s">
        <v>44</v>
      </c>
      <c r="D44" s="14" t="s">
        <v>1814</v>
      </c>
      <c r="E44" s="15">
        <f>(ROW()-ROW(E$27)+1)*首页!$B$3</f>
        <v>21600</v>
      </c>
      <c r="F44" s="14" t="s">
        <v>1910</v>
      </c>
      <c r="G44" s="15">
        <f xml:space="preserve"> (ROW()-ROW(E$27)+1)*首页!$F$3</f>
        <v>1854</v>
      </c>
      <c r="H44" s="14" t="s">
        <v>1935</v>
      </c>
      <c r="I44" s="15">
        <f xml:space="preserve"> ROUND((ROW()-ROW(I$27)+1)*首页!$G$3,2)</f>
        <v>3.96</v>
      </c>
      <c r="J44" s="14" t="s">
        <v>1966</v>
      </c>
      <c r="K44" s="15">
        <f>ROUNDUP(E44/(首页!$D$3-MIN(LN(ROW()-ROW(K$27)+1)/LN(25)*(首页!$D$3-首页!$E$3),(首页!$D$3-首页!$E$3))),0)</f>
        <v>235</v>
      </c>
    </row>
    <row r="45" spans="1:11" outlineLevel="1" x14ac:dyDescent="0.3">
      <c r="A45" s="56">
        <v>19</v>
      </c>
      <c r="B45" s="15" t="s">
        <v>1947</v>
      </c>
      <c r="C45" s="14" t="s">
        <v>45</v>
      </c>
      <c r="D45" s="14" t="s">
        <v>1815</v>
      </c>
      <c r="E45" s="15">
        <f>(ROW()-ROW(E$27)+1)*首页!$B$3</f>
        <v>22800</v>
      </c>
      <c r="F45" s="14" t="s">
        <v>1911</v>
      </c>
      <c r="G45" s="15">
        <f xml:space="preserve"> (ROW()-ROW(E$27)+1)*首页!$F$3</f>
        <v>1957</v>
      </c>
      <c r="H45" s="14" t="s">
        <v>1936</v>
      </c>
      <c r="I45" s="15">
        <f xml:space="preserve"> ROUND((ROW()-ROW(I$27)+1)*首页!$G$3,2)</f>
        <v>4.18</v>
      </c>
      <c r="J45" s="14" t="s">
        <v>1967</v>
      </c>
      <c r="K45" s="15">
        <f>ROUNDUP(E45/(首页!$D$3-MIN(LN(ROW()-ROW(K$27)+1)/LN(25)*(首页!$D$3-首页!$E$3),(首页!$D$3-首页!$E$3))),0)</f>
        <v>253</v>
      </c>
    </row>
    <row r="46" spans="1:11" outlineLevel="1" x14ac:dyDescent="0.3">
      <c r="A46" s="56">
        <v>20</v>
      </c>
      <c r="B46" s="15" t="s">
        <v>1947</v>
      </c>
      <c r="C46" s="14" t="s">
        <v>46</v>
      </c>
      <c r="D46" s="14" t="s">
        <v>1816</v>
      </c>
      <c r="E46" s="15">
        <f>(ROW()-ROW(E$27)+1)*首页!$B$3</f>
        <v>24000</v>
      </c>
      <c r="F46" s="14" t="s">
        <v>1912</v>
      </c>
      <c r="G46" s="15">
        <f xml:space="preserve"> (ROW()-ROW(E$27)+1)*首页!$F$3</f>
        <v>2060</v>
      </c>
      <c r="H46" s="14" t="s">
        <v>1937</v>
      </c>
      <c r="I46" s="15">
        <f xml:space="preserve"> ROUND((ROW()-ROW(I$27)+1)*首页!$G$3,2)</f>
        <v>4.4000000000000004</v>
      </c>
      <c r="J46" s="14" t="s">
        <v>1968</v>
      </c>
      <c r="K46" s="15">
        <f>ROUNDUP(E46/(首页!$D$3-MIN(LN(ROW()-ROW(K$27)+1)/LN(25)*(首页!$D$3-首页!$E$3),(首页!$D$3-首页!$E$3))),0)</f>
        <v>272</v>
      </c>
    </row>
    <row r="47" spans="1:11" outlineLevel="1" x14ac:dyDescent="0.3">
      <c r="A47" s="56">
        <v>21</v>
      </c>
      <c r="B47" s="15" t="s">
        <v>1947</v>
      </c>
      <c r="C47" s="14" t="s">
        <v>47</v>
      </c>
      <c r="D47" s="14" t="s">
        <v>1817</v>
      </c>
      <c r="E47" s="15">
        <f>(ROW()-ROW(E$27)+1)*首页!$B$3</f>
        <v>25200</v>
      </c>
      <c r="F47" s="14" t="s">
        <v>1913</v>
      </c>
      <c r="G47" s="15">
        <f xml:space="preserve"> (ROW()-ROW(E$27)+1)*首页!$F$3</f>
        <v>2163</v>
      </c>
      <c r="H47" s="14" t="s">
        <v>1938</v>
      </c>
      <c r="I47" s="15">
        <f xml:space="preserve"> ROUND((ROW()-ROW(I$27)+1)*首页!$G$3,2)</f>
        <v>4.62</v>
      </c>
      <c r="J47" s="14" t="s">
        <v>1969</v>
      </c>
      <c r="K47" s="15">
        <f>ROUNDUP(E47/(首页!$D$3-MIN(LN(ROW()-ROW(K$27)+1)/LN(25)*(首页!$D$3-首页!$E$3),(首页!$D$3-首页!$E$3))),0)</f>
        <v>292</v>
      </c>
    </row>
    <row r="48" spans="1:11" outlineLevel="1" x14ac:dyDescent="0.3">
      <c r="A48" s="56">
        <v>22</v>
      </c>
      <c r="B48" s="15" t="s">
        <v>1947</v>
      </c>
      <c r="C48" s="14" t="s">
        <v>48</v>
      </c>
      <c r="D48" s="14" t="s">
        <v>1818</v>
      </c>
      <c r="E48" s="15">
        <f>(ROW()-ROW(E$27)+1)*首页!$B$3</f>
        <v>26400</v>
      </c>
      <c r="F48" s="14" t="s">
        <v>1914</v>
      </c>
      <c r="G48" s="15">
        <f xml:space="preserve"> (ROW()-ROW(E$27)+1)*首页!$F$3</f>
        <v>2266</v>
      </c>
      <c r="H48" s="14" t="s">
        <v>1939</v>
      </c>
      <c r="I48" s="15">
        <f xml:space="preserve"> ROUND((ROW()-ROW(I$27)+1)*首页!$G$3,2)</f>
        <v>4.84</v>
      </c>
      <c r="J48" s="14" t="s">
        <v>1970</v>
      </c>
      <c r="K48" s="15">
        <f>ROUNDUP(E48/(首页!$D$3-MIN(LN(ROW()-ROW(K$27)+1)/LN(25)*(首页!$D$3-首页!$E$3),(首页!$D$3-首页!$E$3))),0)</f>
        <v>312</v>
      </c>
    </row>
    <row r="49" spans="1:11" outlineLevel="1" x14ac:dyDescent="0.3">
      <c r="A49" s="56">
        <v>23</v>
      </c>
      <c r="B49" s="15" t="s">
        <v>1947</v>
      </c>
      <c r="C49" s="14" t="s">
        <v>49</v>
      </c>
      <c r="D49" s="14" t="s">
        <v>1819</v>
      </c>
      <c r="E49" s="15">
        <f>(ROW()-ROW(E$27)+1)*首页!$B$3</f>
        <v>27600</v>
      </c>
      <c r="F49" s="14" t="s">
        <v>1915</v>
      </c>
      <c r="G49" s="15">
        <f xml:space="preserve"> (ROW()-ROW(E$27)+1)*首页!$F$3</f>
        <v>2369</v>
      </c>
      <c r="H49" s="14" t="s">
        <v>1940</v>
      </c>
      <c r="I49" s="15">
        <f xml:space="preserve"> ROUND((ROW()-ROW(I$27)+1)*首页!$G$3,2)</f>
        <v>5.0599999999999996</v>
      </c>
      <c r="J49" s="14" t="s">
        <v>1971</v>
      </c>
      <c r="K49" s="15">
        <f>ROUNDUP(E49/(首页!$D$3-MIN(LN(ROW()-ROW(K$27)+1)/LN(25)*(首页!$D$3-首页!$E$3),(首页!$D$3-首页!$E$3))),0)</f>
        <v>333</v>
      </c>
    </row>
    <row r="50" spans="1:11" outlineLevel="1" x14ac:dyDescent="0.3">
      <c r="A50" s="56">
        <v>24</v>
      </c>
      <c r="B50" s="15" t="s">
        <v>1947</v>
      </c>
      <c r="C50" s="14" t="s">
        <v>50</v>
      </c>
      <c r="D50" s="14" t="s">
        <v>1820</v>
      </c>
      <c r="E50" s="15">
        <f>(ROW()-ROW(E$27)+1)*首页!$B$3</f>
        <v>28800</v>
      </c>
      <c r="F50" s="14" t="s">
        <v>1916</v>
      </c>
      <c r="G50" s="15">
        <f xml:space="preserve"> (ROW()-ROW(E$27)+1)*首页!$F$3</f>
        <v>2472</v>
      </c>
      <c r="H50" s="14" t="s">
        <v>1941</v>
      </c>
      <c r="I50" s="15">
        <f xml:space="preserve"> ROUND((ROW()-ROW(I$27)+1)*首页!$G$3,2)</f>
        <v>5.28</v>
      </c>
      <c r="J50" s="14" t="s">
        <v>1972</v>
      </c>
      <c r="K50" s="15">
        <f>ROUNDUP(E50/(首页!$D$3-MIN(LN(ROW()-ROW(K$27)+1)/LN(25)*(首页!$D$3-首页!$E$3),(首页!$D$3-首页!$E$3))),0)</f>
        <v>354</v>
      </c>
    </row>
    <row r="51" spans="1:11" outlineLevel="1" x14ac:dyDescent="0.3">
      <c r="A51" s="56">
        <v>25</v>
      </c>
      <c r="B51" s="26" t="s">
        <v>1947</v>
      </c>
      <c r="C51" s="25" t="s">
        <v>51</v>
      </c>
      <c r="D51" s="25" t="s">
        <v>1821</v>
      </c>
      <c r="E51" s="26">
        <f>(ROW()-ROW(E$27)+1)*首页!$B$3</f>
        <v>30000</v>
      </c>
      <c r="F51" s="25" t="s">
        <v>1917</v>
      </c>
      <c r="G51" s="26">
        <f xml:space="preserve"> (ROW()-ROW(E$27)+1)*首页!$F$3</f>
        <v>2575</v>
      </c>
      <c r="H51" s="25" t="s">
        <v>1942</v>
      </c>
      <c r="I51" s="26">
        <f xml:space="preserve"> ROUND((ROW()-ROW(I$27)+1)*首页!$G$3,2)</f>
        <v>5.5</v>
      </c>
      <c r="J51" s="25" t="s">
        <v>1973</v>
      </c>
      <c r="K51" s="26">
        <f>ROUNDUP(E51/(首页!$D$3-MIN(LN(ROW()-ROW(K$27)+1)/LN(25)*(首页!$D$3-首页!$E$3),(首页!$D$3-首页!$E$3))),0)</f>
        <v>375</v>
      </c>
    </row>
    <row r="52" spans="1:1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outlineLevel="1" x14ac:dyDescent="0.3">
      <c r="A53" s="56" t="s">
        <v>2059</v>
      </c>
      <c r="B53" s="9" t="s">
        <v>1945</v>
      </c>
      <c r="C53" s="9" t="s">
        <v>0</v>
      </c>
      <c r="D53" s="18" t="s">
        <v>1</v>
      </c>
      <c r="E53" s="19" t="s">
        <v>1944</v>
      </c>
      <c r="F53" s="18" t="s">
        <v>2</v>
      </c>
      <c r="G53" s="19" t="s">
        <v>1944</v>
      </c>
      <c r="H53" s="18" t="s">
        <v>151</v>
      </c>
      <c r="I53" s="19" t="s">
        <v>1944</v>
      </c>
      <c r="J53" s="18" t="s">
        <v>3</v>
      </c>
      <c r="K53" s="19" t="s">
        <v>1944</v>
      </c>
    </row>
    <row r="54" spans="1:11" outlineLevel="1" x14ac:dyDescent="0.3">
      <c r="A54" s="56">
        <v>2</v>
      </c>
      <c r="B54" s="21" t="s">
        <v>1948</v>
      </c>
      <c r="C54" s="18" t="s">
        <v>52</v>
      </c>
      <c r="D54" s="18" t="s">
        <v>1822</v>
      </c>
      <c r="E54" s="19">
        <f>(ROW()-ROW(E$53)+1)*首页!$B$4</f>
        <v>7200</v>
      </c>
      <c r="F54" s="18" t="s">
        <v>1999</v>
      </c>
      <c r="G54" s="19">
        <f xml:space="preserve"> (ROW()-ROW(G$53)+1)*首页!$F$4</f>
        <v>516</v>
      </c>
      <c r="H54" s="18" t="s">
        <v>2023</v>
      </c>
      <c r="I54" s="19">
        <f>ROUND((ROW()-ROW(I$53)+1)*首页!$G$4,2)</f>
        <v>0.67</v>
      </c>
      <c r="J54" s="18" t="s">
        <v>1974</v>
      </c>
      <c r="K54" s="19">
        <f xml:space="preserve"> ROUNDUP(E54/(首页!$D$4-MIN(LN((ROW()-ROW(K$53)+1))/LN(25)*(首页!$D$4-首页!$E$4),(首页!$D$4-首页!$E$4))),0)</f>
        <v>42</v>
      </c>
    </row>
    <row r="55" spans="1:11" outlineLevel="1" x14ac:dyDescent="0.3">
      <c r="A55" s="56">
        <v>3</v>
      </c>
      <c r="B55" s="21" t="s">
        <v>1948</v>
      </c>
      <c r="C55" s="20" t="s">
        <v>53</v>
      </c>
      <c r="D55" s="20" t="s">
        <v>1823</v>
      </c>
      <c r="E55" s="21">
        <f>(ROW()-ROW(E$53)+1)*首页!$B$4</f>
        <v>10800</v>
      </c>
      <c r="F55" s="20" t="s">
        <v>2000</v>
      </c>
      <c r="G55" s="21">
        <f xml:space="preserve"> (ROW()-ROW(G$53)+1)*首页!$F$4</f>
        <v>774</v>
      </c>
      <c r="H55" s="20" t="s">
        <v>2024</v>
      </c>
      <c r="I55" s="21">
        <f>ROUND((ROW()-ROW(I$53)+1)*首页!$G$4,2)</f>
        <v>1</v>
      </c>
      <c r="J55" s="20" t="s">
        <v>1975</v>
      </c>
      <c r="K55" s="21">
        <f xml:space="preserve"> ROUNDUP(E55/(首页!$D$4-MIN(LN((ROW()-ROW(K$53)+1))/LN(25)*(首页!$D$4-首页!$E$4),(首页!$D$4-首页!$E$4))),0)</f>
        <v>68</v>
      </c>
    </row>
    <row r="56" spans="1:11" outlineLevel="1" x14ac:dyDescent="0.3">
      <c r="A56" s="56">
        <v>4</v>
      </c>
      <c r="B56" s="21" t="s">
        <v>1948</v>
      </c>
      <c r="C56" s="20" t="s">
        <v>54</v>
      </c>
      <c r="D56" s="20" t="s">
        <v>1824</v>
      </c>
      <c r="E56" s="21">
        <f>(ROW()-ROW(E$53)+1)*首页!$B$4</f>
        <v>14400</v>
      </c>
      <c r="F56" s="20" t="s">
        <v>2001</v>
      </c>
      <c r="G56" s="21">
        <f xml:space="preserve"> (ROW()-ROW(G$53)+1)*首页!$F$4</f>
        <v>1032</v>
      </c>
      <c r="H56" s="20" t="s">
        <v>2025</v>
      </c>
      <c r="I56" s="21">
        <f>ROUND((ROW()-ROW(I$53)+1)*首页!$G$4,2)</f>
        <v>1.33</v>
      </c>
      <c r="J56" s="20" t="s">
        <v>1976</v>
      </c>
      <c r="K56" s="21">
        <f xml:space="preserve"> ROUNDUP(E56/(首页!$D$4-MIN(LN((ROW()-ROW(K$53)+1))/LN(25)*(首页!$D$4-首页!$E$4),(首页!$D$4-首页!$E$4))),0)</f>
        <v>98</v>
      </c>
    </row>
    <row r="57" spans="1:11" outlineLevel="1" x14ac:dyDescent="0.3">
      <c r="A57" s="56">
        <v>5</v>
      </c>
      <c r="B57" s="21" t="s">
        <v>1948</v>
      </c>
      <c r="C57" s="20" t="s">
        <v>55</v>
      </c>
      <c r="D57" s="20" t="s">
        <v>1825</v>
      </c>
      <c r="E57" s="21">
        <f>(ROW()-ROW(E$53)+1)*首页!$B$4</f>
        <v>18000</v>
      </c>
      <c r="F57" s="20" t="s">
        <v>2002</v>
      </c>
      <c r="G57" s="21">
        <f xml:space="preserve"> (ROW()-ROW(G$53)+1)*首页!$F$4</f>
        <v>1290</v>
      </c>
      <c r="H57" s="20" t="s">
        <v>2026</v>
      </c>
      <c r="I57" s="21">
        <f>ROUND((ROW()-ROW(I$53)+1)*首页!$G$4,2)</f>
        <v>1.67</v>
      </c>
      <c r="J57" s="20" t="s">
        <v>1977</v>
      </c>
      <c r="K57" s="21">
        <f xml:space="preserve"> ROUNDUP(E57/(首页!$D$4-MIN(LN((ROW()-ROW(K$53)+1))/LN(25)*(首页!$D$4-首页!$E$4),(首页!$D$4-首页!$E$4))),0)</f>
        <v>129</v>
      </c>
    </row>
    <row r="58" spans="1:11" outlineLevel="1" x14ac:dyDescent="0.3">
      <c r="A58" s="56">
        <v>6</v>
      </c>
      <c r="B58" s="21" t="s">
        <v>1948</v>
      </c>
      <c r="C58" s="20" t="s">
        <v>56</v>
      </c>
      <c r="D58" s="20" t="s">
        <v>1826</v>
      </c>
      <c r="E58" s="21">
        <f>(ROW()-ROW(E$53)+1)*首页!$B$4</f>
        <v>21600</v>
      </c>
      <c r="F58" s="20" t="s">
        <v>2003</v>
      </c>
      <c r="G58" s="21">
        <f xml:space="preserve"> (ROW()-ROW(G$53)+1)*首页!$F$4</f>
        <v>1548</v>
      </c>
      <c r="H58" s="20" t="s">
        <v>2027</v>
      </c>
      <c r="I58" s="21">
        <f>ROUND((ROW()-ROW(I$53)+1)*首页!$G$4,2)</f>
        <v>2</v>
      </c>
      <c r="J58" s="20" t="s">
        <v>1978</v>
      </c>
      <c r="K58" s="21">
        <f xml:space="preserve"> ROUNDUP(E58/(首页!$D$4-MIN(LN((ROW()-ROW(K$53)+1))/LN(25)*(首页!$D$4-首页!$E$4),(首页!$D$4-首页!$E$4))),0)</f>
        <v>163</v>
      </c>
    </row>
    <row r="59" spans="1:11" outlineLevel="1" x14ac:dyDescent="0.3">
      <c r="A59" s="56">
        <v>7</v>
      </c>
      <c r="B59" s="21" t="s">
        <v>1948</v>
      </c>
      <c r="C59" s="20" t="s">
        <v>57</v>
      </c>
      <c r="D59" s="20" t="s">
        <v>1827</v>
      </c>
      <c r="E59" s="21">
        <f>(ROW()-ROW(E$53)+1)*首页!$B$4</f>
        <v>25200</v>
      </c>
      <c r="F59" s="20" t="s">
        <v>2004</v>
      </c>
      <c r="G59" s="21">
        <f xml:space="preserve"> (ROW()-ROW(G$53)+1)*首页!$F$4</f>
        <v>1806</v>
      </c>
      <c r="H59" s="20" t="s">
        <v>2028</v>
      </c>
      <c r="I59" s="21">
        <f>ROUND((ROW()-ROW(I$53)+1)*首页!$G$4,2)</f>
        <v>2.33</v>
      </c>
      <c r="J59" s="20" t="s">
        <v>1979</v>
      </c>
      <c r="K59" s="21">
        <f xml:space="preserve"> ROUNDUP(E59/(首页!$D$4-MIN(LN((ROW()-ROW(K$53)+1))/LN(25)*(首页!$D$4-首页!$E$4),(首页!$D$4-首页!$E$4))),0)</f>
        <v>198</v>
      </c>
    </row>
    <row r="60" spans="1:11" outlineLevel="1" x14ac:dyDescent="0.3">
      <c r="A60" s="56">
        <v>8</v>
      </c>
      <c r="B60" s="21" t="s">
        <v>1948</v>
      </c>
      <c r="C60" s="20" t="s">
        <v>58</v>
      </c>
      <c r="D60" s="20" t="s">
        <v>1828</v>
      </c>
      <c r="E60" s="21">
        <f>(ROW()-ROW(E$53)+1)*首页!$B$4</f>
        <v>28800</v>
      </c>
      <c r="F60" s="20" t="s">
        <v>2005</v>
      </c>
      <c r="G60" s="21">
        <f xml:space="preserve"> (ROW()-ROW(G$53)+1)*首页!$F$4</f>
        <v>2064</v>
      </c>
      <c r="H60" s="20" t="s">
        <v>2029</v>
      </c>
      <c r="I60" s="21">
        <f>ROUND((ROW()-ROW(I$53)+1)*首页!$G$4,2)</f>
        <v>2.66</v>
      </c>
      <c r="J60" s="20" t="s">
        <v>1980</v>
      </c>
      <c r="K60" s="21">
        <f xml:space="preserve"> ROUNDUP(E60/(首页!$D$4-MIN(LN((ROW()-ROW(K$53)+1))/LN(25)*(首页!$D$4-首页!$E$4),(首页!$D$4-首页!$E$4))),0)</f>
        <v>236</v>
      </c>
    </row>
    <row r="61" spans="1:11" outlineLevel="1" x14ac:dyDescent="0.3">
      <c r="A61" s="56">
        <v>9</v>
      </c>
      <c r="B61" s="21" t="s">
        <v>1948</v>
      </c>
      <c r="C61" s="20" t="s">
        <v>59</v>
      </c>
      <c r="D61" s="20" t="s">
        <v>1829</v>
      </c>
      <c r="E61" s="21">
        <f>(ROW()-ROW(E$53)+1)*首页!$B$4</f>
        <v>32400</v>
      </c>
      <c r="F61" s="20" t="s">
        <v>2006</v>
      </c>
      <c r="G61" s="21">
        <f xml:space="preserve"> (ROW()-ROW(G$53)+1)*首页!$F$4</f>
        <v>2322</v>
      </c>
      <c r="H61" s="20" t="s">
        <v>2030</v>
      </c>
      <c r="I61" s="21">
        <f>ROUND((ROW()-ROW(I$53)+1)*首页!$G$4,2)</f>
        <v>3</v>
      </c>
      <c r="J61" s="20" t="s">
        <v>1981</v>
      </c>
      <c r="K61" s="21">
        <f xml:space="preserve"> ROUNDUP(E61/(首页!$D$4-MIN(LN((ROW()-ROW(K$53)+1))/LN(25)*(首页!$D$4-首页!$E$4),(首页!$D$4-首页!$E$4))),0)</f>
        <v>275</v>
      </c>
    </row>
    <row r="62" spans="1:11" outlineLevel="1" x14ac:dyDescent="0.3">
      <c r="A62" s="56">
        <v>10</v>
      </c>
      <c r="B62" s="21" t="s">
        <v>1948</v>
      </c>
      <c r="C62" s="20" t="s">
        <v>60</v>
      </c>
      <c r="D62" s="20" t="s">
        <v>1830</v>
      </c>
      <c r="E62" s="21">
        <f>(ROW()-ROW(E$53)+1)*首页!$B$4</f>
        <v>36000</v>
      </c>
      <c r="F62" s="20" t="s">
        <v>2007</v>
      </c>
      <c r="G62" s="21">
        <f xml:space="preserve"> (ROW()-ROW(G$53)+1)*首页!$F$4</f>
        <v>2580</v>
      </c>
      <c r="H62" s="20" t="s">
        <v>2031</v>
      </c>
      <c r="I62" s="21">
        <f>ROUND((ROW()-ROW(I$53)+1)*首页!$G$4,2)</f>
        <v>3.33</v>
      </c>
      <c r="J62" s="20" t="s">
        <v>1982</v>
      </c>
      <c r="K62" s="21">
        <f xml:space="preserve"> ROUNDUP(E62/(首页!$D$4-MIN(LN((ROW()-ROW(K$53)+1))/LN(25)*(首页!$D$4-首页!$E$4),(首页!$D$4-首页!$E$4))),0)</f>
        <v>316</v>
      </c>
    </row>
    <row r="63" spans="1:11" outlineLevel="1" x14ac:dyDescent="0.3">
      <c r="A63" s="56">
        <v>11</v>
      </c>
      <c r="B63" s="21" t="s">
        <v>1948</v>
      </c>
      <c r="C63" s="20" t="s">
        <v>61</v>
      </c>
      <c r="D63" s="20" t="s">
        <v>1831</v>
      </c>
      <c r="E63" s="21">
        <f>(ROW()-ROW(E$53)+1)*首页!$B$4</f>
        <v>39600</v>
      </c>
      <c r="F63" s="20" t="s">
        <v>2008</v>
      </c>
      <c r="G63" s="21">
        <f xml:space="preserve"> (ROW()-ROW(G$53)+1)*首页!$F$4</f>
        <v>2838</v>
      </c>
      <c r="H63" s="20" t="s">
        <v>2032</v>
      </c>
      <c r="I63" s="21">
        <f>ROUND((ROW()-ROW(I$53)+1)*首页!$G$4,2)</f>
        <v>3.66</v>
      </c>
      <c r="J63" s="20" t="s">
        <v>1983</v>
      </c>
      <c r="K63" s="21">
        <f xml:space="preserve"> ROUNDUP(E63/(首页!$D$4-MIN(LN((ROW()-ROW(K$53)+1))/LN(25)*(首页!$D$4-首页!$E$4),(首页!$D$4-首页!$E$4))),0)</f>
        <v>359</v>
      </c>
    </row>
    <row r="64" spans="1:11" outlineLevel="1" x14ac:dyDescent="0.3">
      <c r="A64" s="56">
        <v>12</v>
      </c>
      <c r="B64" s="21" t="s">
        <v>1948</v>
      </c>
      <c r="C64" s="20" t="s">
        <v>62</v>
      </c>
      <c r="D64" s="20" t="s">
        <v>1832</v>
      </c>
      <c r="E64" s="21">
        <f>(ROW()-ROW(E$53)+1)*首页!$B$4</f>
        <v>43200</v>
      </c>
      <c r="F64" s="20" t="s">
        <v>2009</v>
      </c>
      <c r="G64" s="21">
        <f xml:space="preserve"> (ROW()-ROW(G$53)+1)*首页!$F$4</f>
        <v>3096</v>
      </c>
      <c r="H64" s="20" t="s">
        <v>2033</v>
      </c>
      <c r="I64" s="21">
        <f>ROUND((ROW()-ROW(I$53)+1)*首页!$G$4,2)</f>
        <v>4</v>
      </c>
      <c r="J64" s="20" t="s">
        <v>1984</v>
      </c>
      <c r="K64" s="21">
        <f xml:space="preserve"> ROUNDUP(E64/(首页!$D$4-MIN(LN((ROW()-ROW(K$53)+1))/LN(25)*(首页!$D$4-首页!$E$4),(首页!$D$4-首页!$E$4))),0)</f>
        <v>403</v>
      </c>
    </row>
    <row r="65" spans="1:11" outlineLevel="1" x14ac:dyDescent="0.3">
      <c r="A65" s="56">
        <v>13</v>
      </c>
      <c r="B65" s="21" t="s">
        <v>1948</v>
      </c>
      <c r="C65" s="20" t="s">
        <v>63</v>
      </c>
      <c r="D65" s="20" t="s">
        <v>1833</v>
      </c>
      <c r="E65" s="21">
        <f>(ROW()-ROW(E$53)+1)*首页!$B$4</f>
        <v>46800</v>
      </c>
      <c r="F65" s="20" t="s">
        <v>2010</v>
      </c>
      <c r="G65" s="21">
        <f xml:space="preserve"> (ROW()-ROW(G$53)+1)*首页!$F$4</f>
        <v>3354</v>
      </c>
      <c r="H65" s="20" t="s">
        <v>2034</v>
      </c>
      <c r="I65" s="21">
        <f>ROUND((ROW()-ROW(I$53)+1)*首页!$G$4,2)</f>
        <v>4.33</v>
      </c>
      <c r="J65" s="20" t="s">
        <v>1985</v>
      </c>
      <c r="K65" s="21">
        <f xml:space="preserve"> ROUNDUP(E65/(首页!$D$4-MIN(LN((ROW()-ROW(K$53)+1))/LN(25)*(首页!$D$4-首页!$E$4),(首页!$D$4-首页!$E$4))),0)</f>
        <v>449</v>
      </c>
    </row>
    <row r="66" spans="1:11" outlineLevel="1" x14ac:dyDescent="0.3">
      <c r="A66" s="56">
        <v>14</v>
      </c>
      <c r="B66" s="21" t="s">
        <v>1948</v>
      </c>
      <c r="C66" s="20" t="s">
        <v>64</v>
      </c>
      <c r="D66" s="20" t="s">
        <v>1834</v>
      </c>
      <c r="E66" s="21">
        <f>(ROW()-ROW(E$53)+1)*首页!$B$4</f>
        <v>50400</v>
      </c>
      <c r="F66" s="20" t="s">
        <v>2011</v>
      </c>
      <c r="G66" s="21">
        <f xml:space="preserve"> (ROW()-ROW(G$53)+1)*首页!$F$4</f>
        <v>3612</v>
      </c>
      <c r="H66" s="20" t="s">
        <v>2035</v>
      </c>
      <c r="I66" s="21">
        <f>ROUND((ROW()-ROW(I$53)+1)*首页!$G$4,2)</f>
        <v>4.66</v>
      </c>
      <c r="J66" s="20" t="s">
        <v>1986</v>
      </c>
      <c r="K66" s="21">
        <f xml:space="preserve"> ROUNDUP(E66/(首页!$D$4-MIN(LN((ROW()-ROW(K$53)+1))/LN(25)*(首页!$D$4-首页!$E$4),(首页!$D$4-首页!$E$4))),0)</f>
        <v>496</v>
      </c>
    </row>
    <row r="67" spans="1:11" outlineLevel="1" x14ac:dyDescent="0.3">
      <c r="A67" s="56">
        <v>15</v>
      </c>
      <c r="B67" s="21" t="s">
        <v>1948</v>
      </c>
      <c r="C67" s="20" t="s">
        <v>65</v>
      </c>
      <c r="D67" s="20" t="s">
        <v>1835</v>
      </c>
      <c r="E67" s="21">
        <f>(ROW()-ROW(E$53)+1)*首页!$B$4</f>
        <v>54000</v>
      </c>
      <c r="F67" s="20" t="s">
        <v>2012</v>
      </c>
      <c r="G67" s="21">
        <f xml:space="preserve"> (ROW()-ROW(G$53)+1)*首页!$F$4</f>
        <v>3870</v>
      </c>
      <c r="H67" s="20" t="s">
        <v>2036</v>
      </c>
      <c r="I67" s="21">
        <f>ROUND((ROW()-ROW(I$53)+1)*首页!$G$4,2)</f>
        <v>5</v>
      </c>
      <c r="J67" s="20" t="s">
        <v>1987</v>
      </c>
      <c r="K67" s="21">
        <f xml:space="preserve"> ROUNDUP(E67/(首页!$D$4-MIN(LN((ROW()-ROW(K$53)+1))/LN(25)*(首页!$D$4-首页!$E$4),(首页!$D$4-首页!$E$4))),0)</f>
        <v>546</v>
      </c>
    </row>
    <row r="68" spans="1:11" outlineLevel="1" x14ac:dyDescent="0.3">
      <c r="A68" s="56">
        <v>16</v>
      </c>
      <c r="B68" s="21" t="s">
        <v>1948</v>
      </c>
      <c r="C68" s="20" t="s">
        <v>66</v>
      </c>
      <c r="D68" s="20" t="s">
        <v>1836</v>
      </c>
      <c r="E68" s="21">
        <f>(ROW()-ROW(E$53)+1)*首页!$B$4</f>
        <v>57600</v>
      </c>
      <c r="F68" s="20" t="s">
        <v>2013</v>
      </c>
      <c r="G68" s="21">
        <f xml:space="preserve"> (ROW()-ROW(G$53)+1)*首页!$F$4</f>
        <v>4128</v>
      </c>
      <c r="H68" s="20" t="s">
        <v>2037</v>
      </c>
      <c r="I68" s="21">
        <f>ROUND((ROW()-ROW(I$53)+1)*首页!$G$4,2)</f>
        <v>5.33</v>
      </c>
      <c r="J68" s="20" t="s">
        <v>1988</v>
      </c>
      <c r="K68" s="21">
        <f xml:space="preserve"> ROUNDUP(E68/(首页!$D$4-MIN(LN((ROW()-ROW(K$53)+1))/LN(25)*(首页!$D$4-首页!$E$4),(首页!$D$4-首页!$E$4))),0)</f>
        <v>597</v>
      </c>
    </row>
    <row r="69" spans="1:11" outlineLevel="1" x14ac:dyDescent="0.3">
      <c r="A69" s="56">
        <v>17</v>
      </c>
      <c r="B69" s="21" t="s">
        <v>1948</v>
      </c>
      <c r="C69" s="20" t="s">
        <v>67</v>
      </c>
      <c r="D69" s="20" t="s">
        <v>1837</v>
      </c>
      <c r="E69" s="21">
        <f>(ROW()-ROW(E$53)+1)*首页!$B$4</f>
        <v>61200</v>
      </c>
      <c r="F69" s="20" t="s">
        <v>2014</v>
      </c>
      <c r="G69" s="21">
        <f xml:space="preserve"> (ROW()-ROW(G$53)+1)*首页!$F$4</f>
        <v>4386</v>
      </c>
      <c r="H69" s="20" t="s">
        <v>2038</v>
      </c>
      <c r="I69" s="21">
        <f>ROUND((ROW()-ROW(I$53)+1)*首页!$G$4,2)</f>
        <v>5.66</v>
      </c>
      <c r="J69" s="20" t="s">
        <v>1989</v>
      </c>
      <c r="K69" s="21">
        <f xml:space="preserve"> ROUNDUP(E69/(首页!$D$4-MIN(LN((ROW()-ROW(K$53)+1))/LN(25)*(首页!$D$4-首页!$E$4),(首页!$D$4-首页!$E$4))),0)</f>
        <v>649</v>
      </c>
    </row>
    <row r="70" spans="1:11" outlineLevel="1" x14ac:dyDescent="0.3">
      <c r="A70" s="56">
        <v>18</v>
      </c>
      <c r="B70" s="21" t="s">
        <v>1948</v>
      </c>
      <c r="C70" s="20" t="s">
        <v>68</v>
      </c>
      <c r="D70" s="20" t="s">
        <v>1838</v>
      </c>
      <c r="E70" s="21">
        <f>(ROW()-ROW(E$53)+1)*首页!$B$4</f>
        <v>64800</v>
      </c>
      <c r="F70" s="20" t="s">
        <v>2015</v>
      </c>
      <c r="G70" s="21">
        <f xml:space="preserve"> (ROW()-ROW(G$53)+1)*首页!$F$4</f>
        <v>4644</v>
      </c>
      <c r="H70" s="20" t="s">
        <v>2039</v>
      </c>
      <c r="I70" s="21">
        <f>ROUND((ROW()-ROW(I$53)+1)*首页!$G$4,2)</f>
        <v>5.99</v>
      </c>
      <c r="J70" s="20" t="s">
        <v>1990</v>
      </c>
      <c r="K70" s="21">
        <f xml:space="preserve"> ROUNDUP(E70/(首页!$D$4-MIN(LN((ROW()-ROW(K$53)+1))/LN(25)*(首页!$D$4-首页!$E$4),(首页!$D$4-首页!$E$4))),0)</f>
        <v>703</v>
      </c>
    </row>
    <row r="71" spans="1:11" outlineLevel="1" x14ac:dyDescent="0.3">
      <c r="A71" s="56">
        <v>19</v>
      </c>
      <c r="B71" s="21" t="s">
        <v>1948</v>
      </c>
      <c r="C71" s="20" t="s">
        <v>69</v>
      </c>
      <c r="D71" s="20" t="s">
        <v>1839</v>
      </c>
      <c r="E71" s="21">
        <f>(ROW()-ROW(E$53)+1)*首页!$B$4</f>
        <v>68400</v>
      </c>
      <c r="F71" s="20" t="s">
        <v>2016</v>
      </c>
      <c r="G71" s="21">
        <f xml:space="preserve"> (ROW()-ROW(G$53)+1)*首页!$F$4</f>
        <v>4902</v>
      </c>
      <c r="H71" s="20" t="s">
        <v>2040</v>
      </c>
      <c r="I71" s="21">
        <f>ROUND((ROW()-ROW(I$53)+1)*首页!$G$4,2)</f>
        <v>6.33</v>
      </c>
      <c r="J71" s="20" t="s">
        <v>1991</v>
      </c>
      <c r="K71" s="21">
        <f xml:space="preserve"> ROUNDUP(E71/(首页!$D$4-MIN(LN((ROW()-ROW(K$53)+1))/LN(25)*(首页!$D$4-首页!$E$4),(首页!$D$4-首页!$E$4))),0)</f>
        <v>759</v>
      </c>
    </row>
    <row r="72" spans="1:11" outlineLevel="1" x14ac:dyDescent="0.3">
      <c r="A72" s="56">
        <v>20</v>
      </c>
      <c r="B72" s="21" t="s">
        <v>1948</v>
      </c>
      <c r="C72" s="20" t="s">
        <v>70</v>
      </c>
      <c r="D72" s="20" t="s">
        <v>1840</v>
      </c>
      <c r="E72" s="21">
        <f>(ROW()-ROW(E$53)+1)*首页!$B$4</f>
        <v>72000</v>
      </c>
      <c r="F72" s="20" t="s">
        <v>2017</v>
      </c>
      <c r="G72" s="21">
        <f xml:space="preserve"> (ROW()-ROW(G$53)+1)*首页!$F$4</f>
        <v>5160</v>
      </c>
      <c r="H72" s="20" t="s">
        <v>2041</v>
      </c>
      <c r="I72" s="21">
        <f>ROUND((ROW()-ROW(I$53)+1)*首页!$G$4,2)</f>
        <v>6.66</v>
      </c>
      <c r="J72" s="20" t="s">
        <v>1992</v>
      </c>
      <c r="K72" s="21">
        <f xml:space="preserve"> ROUNDUP(E72/(首页!$D$4-MIN(LN((ROW()-ROW(K$53)+1))/LN(25)*(首页!$D$4-首页!$E$4),(首页!$D$4-首页!$E$4))),0)</f>
        <v>816</v>
      </c>
    </row>
    <row r="73" spans="1:11" outlineLevel="1" x14ac:dyDescent="0.3">
      <c r="A73" s="56">
        <v>21</v>
      </c>
      <c r="B73" s="21" t="s">
        <v>1948</v>
      </c>
      <c r="C73" s="20" t="s">
        <v>71</v>
      </c>
      <c r="D73" s="20" t="s">
        <v>1841</v>
      </c>
      <c r="E73" s="21">
        <f>(ROW()-ROW(E$53)+1)*首页!$B$4</f>
        <v>75600</v>
      </c>
      <c r="F73" s="20" t="s">
        <v>2018</v>
      </c>
      <c r="G73" s="21">
        <f xml:space="preserve"> (ROW()-ROW(G$53)+1)*首页!$F$4</f>
        <v>5418</v>
      </c>
      <c r="H73" s="20" t="s">
        <v>2042</v>
      </c>
      <c r="I73" s="21">
        <f>ROUND((ROW()-ROW(I$53)+1)*首页!$G$4,2)</f>
        <v>6.99</v>
      </c>
      <c r="J73" s="20" t="s">
        <v>1993</v>
      </c>
      <c r="K73" s="21">
        <f xml:space="preserve"> ROUNDUP(E73/(首页!$D$4-MIN(LN((ROW()-ROW(K$53)+1))/LN(25)*(首页!$D$4-首页!$E$4),(首页!$D$4-首页!$E$4))),0)</f>
        <v>874</v>
      </c>
    </row>
    <row r="74" spans="1:11" outlineLevel="1" x14ac:dyDescent="0.3">
      <c r="A74" s="56">
        <v>22</v>
      </c>
      <c r="B74" s="21" t="s">
        <v>1948</v>
      </c>
      <c r="C74" s="20" t="s">
        <v>72</v>
      </c>
      <c r="D74" s="20" t="s">
        <v>1842</v>
      </c>
      <c r="E74" s="21">
        <f>(ROW()-ROW(E$53)+1)*首页!$B$4</f>
        <v>79200</v>
      </c>
      <c r="F74" s="20" t="s">
        <v>2019</v>
      </c>
      <c r="G74" s="21">
        <f xml:space="preserve"> (ROW()-ROW(G$53)+1)*首页!$F$4</f>
        <v>5676</v>
      </c>
      <c r="H74" s="20" t="s">
        <v>2043</v>
      </c>
      <c r="I74" s="21">
        <f>ROUND((ROW()-ROW(I$53)+1)*首页!$G$4,2)</f>
        <v>7.33</v>
      </c>
      <c r="J74" s="20" t="s">
        <v>1994</v>
      </c>
      <c r="K74" s="21">
        <f xml:space="preserve"> ROUNDUP(E74/(首页!$D$4-MIN(LN((ROW()-ROW(K$53)+1))/LN(25)*(首页!$D$4-首页!$E$4),(首页!$D$4-首页!$E$4))),0)</f>
        <v>935</v>
      </c>
    </row>
    <row r="75" spans="1:11" outlineLevel="1" x14ac:dyDescent="0.3">
      <c r="A75" s="56">
        <v>23</v>
      </c>
      <c r="B75" s="21" t="s">
        <v>1948</v>
      </c>
      <c r="C75" s="20" t="s">
        <v>73</v>
      </c>
      <c r="D75" s="20" t="s">
        <v>1843</v>
      </c>
      <c r="E75" s="21">
        <f>(ROW()-ROW(E$53)+1)*首页!$B$4</f>
        <v>82800</v>
      </c>
      <c r="F75" s="20" t="s">
        <v>2020</v>
      </c>
      <c r="G75" s="21">
        <f xml:space="preserve"> (ROW()-ROW(G$53)+1)*首页!$F$4</f>
        <v>5934</v>
      </c>
      <c r="H75" s="20" t="s">
        <v>2044</v>
      </c>
      <c r="I75" s="21">
        <f>ROUND((ROW()-ROW(I$53)+1)*首页!$G$4,2)</f>
        <v>7.66</v>
      </c>
      <c r="J75" s="20" t="s">
        <v>1995</v>
      </c>
      <c r="K75" s="21">
        <f xml:space="preserve"> ROUNDUP(E75/(首页!$D$4-MIN(LN((ROW()-ROW(K$53)+1))/LN(25)*(首页!$D$4-首页!$E$4),(首页!$D$4-首页!$E$4))),0)</f>
        <v>997</v>
      </c>
    </row>
    <row r="76" spans="1:11" outlineLevel="1" x14ac:dyDescent="0.3">
      <c r="A76" s="56">
        <v>24</v>
      </c>
      <c r="B76" s="21" t="s">
        <v>1948</v>
      </c>
      <c r="C76" s="20" t="s">
        <v>74</v>
      </c>
      <c r="D76" s="20" t="s">
        <v>1844</v>
      </c>
      <c r="E76" s="21">
        <f>(ROW()-ROW(E$53)+1)*首页!$B$4</f>
        <v>86400</v>
      </c>
      <c r="F76" s="20" t="s">
        <v>2021</v>
      </c>
      <c r="G76" s="21">
        <f xml:space="preserve"> (ROW()-ROW(G$53)+1)*首页!$F$4</f>
        <v>6192</v>
      </c>
      <c r="H76" s="20" t="s">
        <v>2045</v>
      </c>
      <c r="I76" s="21">
        <f>ROUND((ROW()-ROW(I$53)+1)*首页!$G$4,2)</f>
        <v>7.99</v>
      </c>
      <c r="J76" s="20" t="s">
        <v>1996</v>
      </c>
      <c r="K76" s="21">
        <f xml:space="preserve"> ROUNDUP(E76/(首页!$D$4-MIN(LN((ROW()-ROW(K$53)+1))/LN(25)*(首页!$D$4-首页!$E$4),(首页!$D$4-首页!$E$4))),0)</f>
        <v>1060</v>
      </c>
    </row>
    <row r="77" spans="1:11" outlineLevel="1" x14ac:dyDescent="0.3">
      <c r="A77" s="56">
        <v>25</v>
      </c>
      <c r="B77" s="29" t="s">
        <v>1948</v>
      </c>
      <c r="C77" s="28" t="s">
        <v>75</v>
      </c>
      <c r="D77" s="28" t="s">
        <v>1845</v>
      </c>
      <c r="E77" s="29">
        <f>(ROW()-ROW(E$53)+1)*首页!$B$4</f>
        <v>90000</v>
      </c>
      <c r="F77" s="28" t="s">
        <v>2022</v>
      </c>
      <c r="G77" s="29">
        <f xml:space="preserve"> (ROW()-ROW(G$53)+1)*首页!$F$4</f>
        <v>6450</v>
      </c>
      <c r="H77" s="28" t="s">
        <v>2046</v>
      </c>
      <c r="I77" s="29">
        <f>ROUND((ROW()-ROW(I$53)+1)*首页!$G$4,2)</f>
        <v>8.33</v>
      </c>
      <c r="J77" s="28" t="s">
        <v>1997</v>
      </c>
      <c r="K77" s="29">
        <f xml:space="preserve"> ROUNDUP(E77/(首页!$D$4-MIN(LN((ROW()-ROW(K$53)+1))/LN(25)*(首页!$D$4-首页!$E$4),(首页!$D$4-首页!$E$4))),0)</f>
        <v>1125</v>
      </c>
    </row>
  </sheetData>
  <sheetProtection sheet="1" objects="1" scenarios="1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8FD3-5011-44F0-8050-E7399927F304}">
  <dimension ref="A1:G77"/>
  <sheetViews>
    <sheetView topLeftCell="A67" zoomScale="85" zoomScaleNormal="85" workbookViewId="0">
      <selection activeCell="I74" sqref="I74"/>
    </sheetView>
  </sheetViews>
  <sheetFormatPr defaultRowHeight="14" outlineLevelRow="1" x14ac:dyDescent="0.3"/>
  <cols>
    <col min="3" max="3" width="25" customWidth="1"/>
    <col min="4" max="4" width="17.08203125" customWidth="1"/>
    <col min="5" max="5" width="9.1640625" customWidth="1"/>
    <col min="6" max="6" width="22.4140625" customWidth="1"/>
    <col min="7" max="7" width="5.25" customWidth="1"/>
    <col min="9" max="9" width="24" customWidth="1"/>
    <col min="10" max="10" width="17.75" customWidth="1"/>
    <col min="11" max="11" width="6.58203125" customWidth="1"/>
    <col min="12" max="12" width="22.25" customWidth="1"/>
    <col min="13" max="13" width="5.5" customWidth="1"/>
    <col min="14" max="14" width="8.6640625" customWidth="1"/>
    <col min="15" max="15" width="22.08203125" customWidth="1"/>
    <col min="16" max="16" width="17.08203125" customWidth="1"/>
    <col min="17" max="17" width="7.1640625" customWidth="1"/>
    <col min="18" max="18" width="22.4140625" customWidth="1"/>
    <col min="19" max="19" width="6.25" customWidth="1"/>
  </cols>
  <sheetData>
    <row r="1" spans="1:7" outlineLevel="1" x14ac:dyDescent="0.3">
      <c r="A1" s="56" t="s">
        <v>2059</v>
      </c>
      <c r="B1" s="57" t="s">
        <v>1945</v>
      </c>
      <c r="C1" s="57" t="s">
        <v>0</v>
      </c>
      <c r="D1" s="5" t="s">
        <v>1</v>
      </c>
      <c r="E1" s="6" t="s">
        <v>1944</v>
      </c>
      <c r="F1" s="30" t="s">
        <v>3</v>
      </c>
      <c r="G1" s="31" t="s">
        <v>1944</v>
      </c>
    </row>
    <row r="2" spans="1:7" outlineLevel="1" x14ac:dyDescent="0.3">
      <c r="A2" s="56">
        <v>2</v>
      </c>
      <c r="B2" s="11" t="s">
        <v>1946</v>
      </c>
      <c r="C2" s="12" t="s">
        <v>667</v>
      </c>
      <c r="D2" s="5" t="s">
        <v>1073</v>
      </c>
      <c r="E2" s="6">
        <f>(ROW()-ROW(E$1)+1)*首页!$B$5</f>
        <v>640</v>
      </c>
      <c r="F2" s="61" t="s">
        <v>1075</v>
      </c>
      <c r="G2" s="6">
        <f xml:space="preserve"> ROUNDUP(E2/首页!$E$5,0)</f>
        <v>8</v>
      </c>
    </row>
    <row r="3" spans="1:7" outlineLevel="1" x14ac:dyDescent="0.3">
      <c r="A3" s="56">
        <v>3</v>
      </c>
      <c r="B3" s="11" t="s">
        <v>1946</v>
      </c>
      <c r="C3" s="12" t="s">
        <v>668</v>
      </c>
      <c r="D3" s="12" t="s">
        <v>691</v>
      </c>
      <c r="E3" s="13">
        <f>(ROW()-ROW(E$1)+1)*首页!$B$5</f>
        <v>960</v>
      </c>
      <c r="F3" s="4" t="s">
        <v>713</v>
      </c>
      <c r="G3" s="13">
        <f xml:space="preserve"> ROUNDUP(E3/首页!$E$5,0)</f>
        <v>12</v>
      </c>
    </row>
    <row r="4" spans="1:7" outlineLevel="1" x14ac:dyDescent="0.3">
      <c r="A4" s="56">
        <v>4</v>
      </c>
      <c r="B4" s="11" t="s">
        <v>1946</v>
      </c>
      <c r="C4" s="12" t="s">
        <v>669</v>
      </c>
      <c r="D4" s="12" t="s">
        <v>692</v>
      </c>
      <c r="E4" s="13">
        <f>(ROW()-ROW(E$1)+1)*首页!$B$5</f>
        <v>1280</v>
      </c>
      <c r="F4" s="4" t="s">
        <v>714</v>
      </c>
      <c r="G4" s="13">
        <f xml:space="preserve"> ROUNDUP(E4/首页!$E$5,0)</f>
        <v>16</v>
      </c>
    </row>
    <row r="5" spans="1:7" outlineLevel="1" x14ac:dyDescent="0.3">
      <c r="A5" s="56">
        <v>5</v>
      </c>
      <c r="B5" s="11" t="s">
        <v>1946</v>
      </c>
      <c r="C5" s="12" t="s">
        <v>670</v>
      </c>
      <c r="D5" s="12" t="s">
        <v>693</v>
      </c>
      <c r="E5" s="13">
        <f>(ROW()-ROW(E$1)+1)*首页!$B$5</f>
        <v>1600</v>
      </c>
      <c r="F5" s="4" t="s">
        <v>715</v>
      </c>
      <c r="G5" s="13">
        <f xml:space="preserve"> ROUNDUP(E5/首页!$E$5,0)</f>
        <v>20</v>
      </c>
    </row>
    <row r="6" spans="1:7" outlineLevel="1" x14ac:dyDescent="0.3">
      <c r="A6" s="56">
        <v>6</v>
      </c>
      <c r="B6" s="11" t="s">
        <v>1946</v>
      </c>
      <c r="C6" s="12" t="s">
        <v>671</v>
      </c>
      <c r="D6" s="12" t="s">
        <v>694</v>
      </c>
      <c r="E6" s="13">
        <f>(ROW()-ROW(E$1)+1)*首页!$B$5</f>
        <v>1920</v>
      </c>
      <c r="F6" s="4" t="s">
        <v>716</v>
      </c>
      <c r="G6" s="13">
        <f xml:space="preserve"> ROUNDUP(E6/首页!$E$5,0)</f>
        <v>24</v>
      </c>
    </row>
    <row r="7" spans="1:7" outlineLevel="1" x14ac:dyDescent="0.3">
      <c r="A7" s="56">
        <v>7</v>
      </c>
      <c r="B7" s="11" t="s">
        <v>1946</v>
      </c>
      <c r="C7" s="12" t="s">
        <v>672</v>
      </c>
      <c r="D7" s="12" t="s">
        <v>695</v>
      </c>
      <c r="E7" s="13">
        <f>(ROW()-ROW(E$1)+1)*首页!$B$5</f>
        <v>2240</v>
      </c>
      <c r="F7" s="4" t="s">
        <v>717</v>
      </c>
      <c r="G7" s="13">
        <f xml:space="preserve"> ROUNDUP(E7/首页!$E$5,0)</f>
        <v>28</v>
      </c>
    </row>
    <row r="8" spans="1:7" outlineLevel="1" x14ac:dyDescent="0.3">
      <c r="A8" s="56">
        <v>8</v>
      </c>
      <c r="B8" s="11" t="s">
        <v>1946</v>
      </c>
      <c r="C8" s="12" t="s">
        <v>673</v>
      </c>
      <c r="D8" s="12" t="s">
        <v>696</v>
      </c>
      <c r="E8" s="13">
        <f>(ROW()-ROW(E$1)+1)*首页!$B$5</f>
        <v>2560</v>
      </c>
      <c r="F8" s="4" t="s">
        <v>718</v>
      </c>
      <c r="G8" s="13">
        <f xml:space="preserve"> ROUNDUP(E8/首页!$E$5,0)</f>
        <v>32</v>
      </c>
    </row>
    <row r="9" spans="1:7" outlineLevel="1" x14ac:dyDescent="0.3">
      <c r="A9" s="56">
        <v>9</v>
      </c>
      <c r="B9" s="11" t="s">
        <v>1946</v>
      </c>
      <c r="C9" s="12" t="s">
        <v>674</v>
      </c>
      <c r="D9" s="12" t="s">
        <v>697</v>
      </c>
      <c r="E9" s="13">
        <f>(ROW()-ROW(E$1)+1)*首页!$B$5</f>
        <v>2880</v>
      </c>
      <c r="F9" s="4" t="s">
        <v>719</v>
      </c>
      <c r="G9" s="13">
        <f xml:space="preserve"> ROUNDUP(E9/首页!$E$5,0)</f>
        <v>36</v>
      </c>
    </row>
    <row r="10" spans="1:7" outlineLevel="1" x14ac:dyDescent="0.3">
      <c r="A10" s="56">
        <v>10</v>
      </c>
      <c r="B10" s="11" t="s">
        <v>1946</v>
      </c>
      <c r="C10" s="12" t="s">
        <v>675</v>
      </c>
      <c r="D10" s="12" t="s">
        <v>698</v>
      </c>
      <c r="E10" s="13">
        <f>(ROW()-ROW(E$1)+1)*首页!$B$5</f>
        <v>3200</v>
      </c>
      <c r="F10" s="4" t="s">
        <v>720</v>
      </c>
      <c r="G10" s="13">
        <f xml:space="preserve"> ROUNDUP(E10/首页!$E$5,0)</f>
        <v>40</v>
      </c>
    </row>
    <row r="11" spans="1:7" outlineLevel="1" x14ac:dyDescent="0.3">
      <c r="A11" s="56">
        <v>11</v>
      </c>
      <c r="B11" s="11" t="s">
        <v>1946</v>
      </c>
      <c r="C11" s="12" t="s">
        <v>676</v>
      </c>
      <c r="D11" s="12" t="s">
        <v>699</v>
      </c>
      <c r="E11" s="13">
        <f>(ROW()-ROW(E$1)+1)*首页!$B$5</f>
        <v>3520</v>
      </c>
      <c r="F11" s="4" t="s">
        <v>721</v>
      </c>
      <c r="G11" s="13">
        <f xml:space="preserve"> ROUNDUP(E11/首页!$E$5,0)</f>
        <v>44</v>
      </c>
    </row>
    <row r="12" spans="1:7" outlineLevel="1" x14ac:dyDescent="0.3">
      <c r="A12" s="56">
        <v>12</v>
      </c>
      <c r="B12" s="11" t="s">
        <v>1946</v>
      </c>
      <c r="C12" s="12" t="s">
        <v>677</v>
      </c>
      <c r="D12" s="12" t="s">
        <v>700</v>
      </c>
      <c r="E12" s="13">
        <f>(ROW()-ROW(E$1)+1)*首页!$B$5</f>
        <v>3840</v>
      </c>
      <c r="F12" s="4" t="s">
        <v>722</v>
      </c>
      <c r="G12" s="13">
        <f xml:space="preserve"> ROUNDUP(E12/首页!$E$5,0)</f>
        <v>48</v>
      </c>
    </row>
    <row r="13" spans="1:7" outlineLevel="1" x14ac:dyDescent="0.3">
      <c r="A13" s="56">
        <v>13</v>
      </c>
      <c r="B13" s="11" t="s">
        <v>1946</v>
      </c>
      <c r="C13" s="12" t="s">
        <v>678</v>
      </c>
      <c r="D13" s="12" t="s">
        <v>701</v>
      </c>
      <c r="E13" s="13">
        <f>(ROW()-ROW(E$1)+1)*首页!$B$5</f>
        <v>4160</v>
      </c>
      <c r="F13" s="4" t="s">
        <v>723</v>
      </c>
      <c r="G13" s="13">
        <f xml:space="preserve"> ROUNDUP(E13/首页!$E$5,0)</f>
        <v>52</v>
      </c>
    </row>
    <row r="14" spans="1:7" outlineLevel="1" x14ac:dyDescent="0.3">
      <c r="A14" s="56">
        <v>14</v>
      </c>
      <c r="B14" s="11" t="s">
        <v>1946</v>
      </c>
      <c r="C14" s="12" t="s">
        <v>679</v>
      </c>
      <c r="D14" s="12" t="s">
        <v>702</v>
      </c>
      <c r="E14" s="13">
        <f>(ROW()-ROW(E$1)+1)*首页!$B$5</f>
        <v>4480</v>
      </c>
      <c r="F14" s="4" t="s">
        <v>724</v>
      </c>
      <c r="G14" s="13">
        <f xml:space="preserve"> ROUNDUP(E14/首页!$E$5,0)</f>
        <v>56</v>
      </c>
    </row>
    <row r="15" spans="1:7" outlineLevel="1" x14ac:dyDescent="0.3">
      <c r="A15" s="56">
        <v>15</v>
      </c>
      <c r="B15" s="11" t="s">
        <v>1946</v>
      </c>
      <c r="C15" s="12" t="s">
        <v>680</v>
      </c>
      <c r="D15" s="12" t="s">
        <v>703</v>
      </c>
      <c r="E15" s="13">
        <f>(ROW()-ROW(E$1)+1)*首页!$B$5</f>
        <v>4800</v>
      </c>
      <c r="F15" s="4" t="s">
        <v>725</v>
      </c>
      <c r="G15" s="13">
        <f xml:space="preserve"> ROUNDUP(E15/首页!$E$5,0)</f>
        <v>60</v>
      </c>
    </row>
    <row r="16" spans="1:7" outlineLevel="1" x14ac:dyDescent="0.3">
      <c r="A16" s="56">
        <v>16</v>
      </c>
      <c r="B16" s="11" t="s">
        <v>1946</v>
      </c>
      <c r="C16" s="12" t="s">
        <v>681</v>
      </c>
      <c r="D16" s="12" t="s">
        <v>704</v>
      </c>
      <c r="E16" s="13">
        <f>(ROW()-ROW(E$1)+1)*首页!$B$5</f>
        <v>5120</v>
      </c>
      <c r="F16" s="4" t="s">
        <v>726</v>
      </c>
      <c r="G16" s="13">
        <f xml:space="preserve"> ROUNDUP(E16/首页!$E$5,0)</f>
        <v>64</v>
      </c>
    </row>
    <row r="17" spans="1:7" outlineLevel="1" x14ac:dyDescent="0.3">
      <c r="A17" s="56">
        <v>17</v>
      </c>
      <c r="B17" s="11" t="s">
        <v>1946</v>
      </c>
      <c r="C17" s="12" t="s">
        <v>682</v>
      </c>
      <c r="D17" s="12" t="s">
        <v>705</v>
      </c>
      <c r="E17" s="13">
        <f>(ROW()-ROW(E$1)+1)*首页!$B$5</f>
        <v>5440</v>
      </c>
      <c r="F17" s="4" t="s">
        <v>727</v>
      </c>
      <c r="G17" s="13">
        <f xml:space="preserve"> ROUNDUP(E17/首页!$E$5,0)</f>
        <v>68</v>
      </c>
    </row>
    <row r="18" spans="1:7" outlineLevel="1" x14ac:dyDescent="0.3">
      <c r="A18" s="56">
        <v>18</v>
      </c>
      <c r="B18" s="11" t="s">
        <v>1946</v>
      </c>
      <c r="C18" s="12" t="s">
        <v>683</v>
      </c>
      <c r="D18" s="12" t="s">
        <v>706</v>
      </c>
      <c r="E18" s="13">
        <f>(ROW()-ROW(E$1)+1)*首页!$B$5</f>
        <v>5760</v>
      </c>
      <c r="F18" s="4" t="s">
        <v>728</v>
      </c>
      <c r="G18" s="13">
        <f xml:space="preserve"> ROUNDUP(E18/首页!$E$5,0)</f>
        <v>72</v>
      </c>
    </row>
    <row r="19" spans="1:7" outlineLevel="1" x14ac:dyDescent="0.3">
      <c r="A19" s="56">
        <v>19</v>
      </c>
      <c r="B19" s="11" t="s">
        <v>1946</v>
      </c>
      <c r="C19" s="12" t="s">
        <v>684</v>
      </c>
      <c r="D19" s="12" t="s">
        <v>707</v>
      </c>
      <c r="E19" s="13">
        <f>(ROW()-ROW(E$1)+1)*首页!$B$5</f>
        <v>6080</v>
      </c>
      <c r="F19" s="4" t="s">
        <v>729</v>
      </c>
      <c r="G19" s="13">
        <f xml:space="preserve"> ROUNDUP(E19/首页!$E$5,0)</f>
        <v>76</v>
      </c>
    </row>
    <row r="20" spans="1:7" outlineLevel="1" x14ac:dyDescent="0.3">
      <c r="A20" s="56">
        <v>20</v>
      </c>
      <c r="B20" s="11" t="s">
        <v>1946</v>
      </c>
      <c r="C20" s="12" t="s">
        <v>685</v>
      </c>
      <c r="D20" s="12" t="s">
        <v>708</v>
      </c>
      <c r="E20" s="13">
        <f>(ROW()-ROW(E$1)+1)*首页!$B$5</f>
        <v>6400</v>
      </c>
      <c r="F20" s="4" t="s">
        <v>730</v>
      </c>
      <c r="G20" s="13">
        <f xml:space="preserve"> ROUNDUP(E20/首页!$E$5,0)</f>
        <v>80</v>
      </c>
    </row>
    <row r="21" spans="1:7" outlineLevel="1" x14ac:dyDescent="0.3">
      <c r="A21" s="56">
        <v>21</v>
      </c>
      <c r="B21" s="11" t="s">
        <v>1946</v>
      </c>
      <c r="C21" s="12" t="s">
        <v>686</v>
      </c>
      <c r="D21" s="12" t="s">
        <v>709</v>
      </c>
      <c r="E21" s="13">
        <f>(ROW()-ROW(E$1)+1)*首页!$B$5</f>
        <v>6720</v>
      </c>
      <c r="F21" s="4" t="s">
        <v>731</v>
      </c>
      <c r="G21" s="13">
        <f xml:space="preserve"> ROUNDUP(E21/首页!$E$5,0)</f>
        <v>84</v>
      </c>
    </row>
    <row r="22" spans="1:7" outlineLevel="1" x14ac:dyDescent="0.3">
      <c r="A22" s="56">
        <v>22</v>
      </c>
      <c r="B22" s="11" t="s">
        <v>1946</v>
      </c>
      <c r="C22" s="12" t="s">
        <v>687</v>
      </c>
      <c r="D22" s="12" t="s">
        <v>710</v>
      </c>
      <c r="E22" s="13">
        <f>(ROW()-ROW(E$1)+1)*首页!$B$5</f>
        <v>7040</v>
      </c>
      <c r="F22" s="4" t="s">
        <v>732</v>
      </c>
      <c r="G22" s="13">
        <f xml:space="preserve"> ROUNDUP(E22/首页!$E$5,0)</f>
        <v>88</v>
      </c>
    </row>
    <row r="23" spans="1:7" outlineLevel="1" x14ac:dyDescent="0.3">
      <c r="A23" s="56">
        <v>23</v>
      </c>
      <c r="B23" s="11" t="s">
        <v>1946</v>
      </c>
      <c r="C23" s="12" t="s">
        <v>688</v>
      </c>
      <c r="D23" s="12" t="s">
        <v>711</v>
      </c>
      <c r="E23" s="13">
        <f>(ROW()-ROW(E$1)+1)*首页!$B$5</f>
        <v>7360</v>
      </c>
      <c r="F23" s="4" t="s">
        <v>733</v>
      </c>
      <c r="G23" s="13">
        <f xml:space="preserve"> ROUNDUP(E23/首页!$E$5,0)</f>
        <v>92</v>
      </c>
    </row>
    <row r="24" spans="1:7" outlineLevel="1" x14ac:dyDescent="0.3">
      <c r="A24" s="56">
        <v>24</v>
      </c>
      <c r="B24" s="11" t="s">
        <v>1946</v>
      </c>
      <c r="C24" s="12" t="s">
        <v>689</v>
      </c>
      <c r="D24" s="12" t="s">
        <v>712</v>
      </c>
      <c r="E24" s="13">
        <f>(ROW()-ROW(E$1)+1)*首页!$B$5</f>
        <v>7680</v>
      </c>
      <c r="F24" s="4" t="s">
        <v>734</v>
      </c>
      <c r="G24" s="13">
        <f xml:space="preserve"> ROUNDUP(E24/首页!$E$5,0)</f>
        <v>96</v>
      </c>
    </row>
    <row r="25" spans="1:7" outlineLevel="1" x14ac:dyDescent="0.3">
      <c r="A25" s="56">
        <v>25</v>
      </c>
      <c r="B25" s="22" t="s">
        <v>1946</v>
      </c>
      <c r="C25" s="23" t="s">
        <v>690</v>
      </c>
      <c r="D25" s="23" t="s">
        <v>1074</v>
      </c>
      <c r="E25" s="24">
        <f>(ROW()-ROW(E$1)+1)*首页!$B$5</f>
        <v>8000</v>
      </c>
      <c r="F25" s="47" t="s">
        <v>1076</v>
      </c>
      <c r="G25" s="24">
        <f xml:space="preserve"> ROUNDUP(E25/首页!$E$5,0)</f>
        <v>100</v>
      </c>
    </row>
    <row r="27" spans="1:7" outlineLevel="1" x14ac:dyDescent="0.3">
      <c r="A27" s="56" t="s">
        <v>2059</v>
      </c>
      <c r="B27" s="62" t="s">
        <v>1945</v>
      </c>
      <c r="C27" s="69" t="s">
        <v>0</v>
      </c>
      <c r="D27" s="70" t="s">
        <v>1</v>
      </c>
      <c r="E27" s="71" t="s">
        <v>1944</v>
      </c>
      <c r="F27" s="66" t="s">
        <v>3</v>
      </c>
      <c r="G27" s="63" t="s">
        <v>1944</v>
      </c>
    </row>
    <row r="28" spans="1:7" outlineLevel="1" x14ac:dyDescent="0.3">
      <c r="A28" s="56">
        <v>2</v>
      </c>
      <c r="B28" s="62" t="s">
        <v>1947</v>
      </c>
      <c r="C28" s="62" t="s">
        <v>735</v>
      </c>
      <c r="D28" s="66" t="s">
        <v>1069</v>
      </c>
      <c r="E28" s="63">
        <f>(ROW()-ROW(E$27)+1)*首页!$B$6</f>
        <v>1920</v>
      </c>
      <c r="F28" s="66" t="s">
        <v>1071</v>
      </c>
      <c r="G28" s="63">
        <f>E28/首页!$E$6</f>
        <v>24</v>
      </c>
    </row>
    <row r="29" spans="1:7" outlineLevel="1" x14ac:dyDescent="0.3">
      <c r="A29" s="56">
        <v>3</v>
      </c>
      <c r="B29" s="67" t="s">
        <v>1947</v>
      </c>
      <c r="C29" s="67" t="s">
        <v>736</v>
      </c>
      <c r="D29" s="72" t="s">
        <v>759</v>
      </c>
      <c r="E29" s="64">
        <f>(ROW()-ROW(E$27)+1)*首页!$B$6</f>
        <v>2880</v>
      </c>
      <c r="F29" s="72" t="s">
        <v>781</v>
      </c>
      <c r="G29" s="64">
        <f>E29/首页!$E$6</f>
        <v>36</v>
      </c>
    </row>
    <row r="30" spans="1:7" outlineLevel="1" x14ac:dyDescent="0.3">
      <c r="A30" s="56">
        <v>4</v>
      </c>
      <c r="B30" s="67" t="s">
        <v>1947</v>
      </c>
      <c r="C30" s="67" t="s">
        <v>737</v>
      </c>
      <c r="D30" s="72" t="s">
        <v>760</v>
      </c>
      <c r="E30" s="64">
        <f>(ROW()-ROW(E$27)+1)*首页!$B$6</f>
        <v>3840</v>
      </c>
      <c r="F30" s="72" t="s">
        <v>782</v>
      </c>
      <c r="G30" s="64">
        <f>E30/首页!$E$6</f>
        <v>48</v>
      </c>
    </row>
    <row r="31" spans="1:7" outlineLevel="1" x14ac:dyDescent="0.3">
      <c r="A31" s="56">
        <v>5</v>
      </c>
      <c r="B31" s="67" t="s">
        <v>1947</v>
      </c>
      <c r="C31" s="67" t="s">
        <v>738</v>
      </c>
      <c r="D31" s="72" t="s">
        <v>761</v>
      </c>
      <c r="E31" s="64">
        <f>(ROW()-ROW(E$27)+1)*首页!$B$6</f>
        <v>4800</v>
      </c>
      <c r="F31" s="72" t="s">
        <v>783</v>
      </c>
      <c r="G31" s="64">
        <f>E31/首页!$E$6</f>
        <v>60</v>
      </c>
    </row>
    <row r="32" spans="1:7" outlineLevel="1" x14ac:dyDescent="0.3">
      <c r="A32" s="56">
        <v>6</v>
      </c>
      <c r="B32" s="67" t="s">
        <v>1947</v>
      </c>
      <c r="C32" s="67" t="s">
        <v>739</v>
      </c>
      <c r="D32" s="72" t="s">
        <v>762</v>
      </c>
      <c r="E32" s="64">
        <f>(ROW()-ROW(E$27)+1)*首页!$B$6</f>
        <v>5760</v>
      </c>
      <c r="F32" s="72" t="s">
        <v>784</v>
      </c>
      <c r="G32" s="64">
        <f>E32/首页!$E$6</f>
        <v>72</v>
      </c>
    </row>
    <row r="33" spans="1:7" outlineLevel="1" x14ac:dyDescent="0.3">
      <c r="A33" s="56">
        <v>7</v>
      </c>
      <c r="B33" s="67" t="s">
        <v>1947</v>
      </c>
      <c r="C33" s="67" t="s">
        <v>740</v>
      </c>
      <c r="D33" s="72" t="s">
        <v>763</v>
      </c>
      <c r="E33" s="64">
        <f>(ROW()-ROW(E$27)+1)*首页!$B$6</f>
        <v>6720</v>
      </c>
      <c r="F33" s="72" t="s">
        <v>785</v>
      </c>
      <c r="G33" s="64">
        <f>E33/首页!$E$6</f>
        <v>84</v>
      </c>
    </row>
    <row r="34" spans="1:7" outlineLevel="1" x14ac:dyDescent="0.3">
      <c r="A34" s="56">
        <v>8</v>
      </c>
      <c r="B34" s="67" t="s">
        <v>1947</v>
      </c>
      <c r="C34" s="67" t="s">
        <v>741</v>
      </c>
      <c r="D34" s="72" t="s">
        <v>764</v>
      </c>
      <c r="E34" s="64">
        <f>(ROW()-ROW(E$27)+1)*首页!$B$6</f>
        <v>7680</v>
      </c>
      <c r="F34" s="72" t="s">
        <v>786</v>
      </c>
      <c r="G34" s="64">
        <f>E34/首页!$E$6</f>
        <v>96</v>
      </c>
    </row>
    <row r="35" spans="1:7" outlineLevel="1" x14ac:dyDescent="0.3">
      <c r="A35" s="56">
        <v>9</v>
      </c>
      <c r="B35" s="67" t="s">
        <v>1947</v>
      </c>
      <c r="C35" s="67" t="s">
        <v>742</v>
      </c>
      <c r="D35" s="72" t="s">
        <v>765</v>
      </c>
      <c r="E35" s="64">
        <f>(ROW()-ROW(E$27)+1)*首页!$B$6</f>
        <v>8640</v>
      </c>
      <c r="F35" s="72" t="s">
        <v>787</v>
      </c>
      <c r="G35" s="64">
        <f>E35/首页!$E$6</f>
        <v>108</v>
      </c>
    </row>
    <row r="36" spans="1:7" outlineLevel="1" x14ac:dyDescent="0.3">
      <c r="A36" s="56">
        <v>10</v>
      </c>
      <c r="B36" s="67" t="s">
        <v>1947</v>
      </c>
      <c r="C36" s="67" t="s">
        <v>743</v>
      </c>
      <c r="D36" s="72" t="s">
        <v>766</v>
      </c>
      <c r="E36" s="64">
        <f>(ROW()-ROW(E$27)+1)*首页!$B$6</f>
        <v>9600</v>
      </c>
      <c r="F36" s="72" t="s">
        <v>788</v>
      </c>
      <c r="G36" s="64">
        <f>E36/首页!$E$6</f>
        <v>120</v>
      </c>
    </row>
    <row r="37" spans="1:7" outlineLevel="1" x14ac:dyDescent="0.3">
      <c r="A37" s="56">
        <v>11</v>
      </c>
      <c r="B37" s="67" t="s">
        <v>1947</v>
      </c>
      <c r="C37" s="67" t="s">
        <v>744</v>
      </c>
      <c r="D37" s="72" t="s">
        <v>767</v>
      </c>
      <c r="E37" s="64">
        <f>(ROW()-ROW(E$27)+1)*首页!$B$6</f>
        <v>10560</v>
      </c>
      <c r="F37" s="72" t="s">
        <v>789</v>
      </c>
      <c r="G37" s="64">
        <f>E37/首页!$E$6</f>
        <v>132</v>
      </c>
    </row>
    <row r="38" spans="1:7" outlineLevel="1" x14ac:dyDescent="0.3">
      <c r="A38" s="56">
        <v>12</v>
      </c>
      <c r="B38" s="67" t="s">
        <v>1947</v>
      </c>
      <c r="C38" s="67" t="s">
        <v>745</v>
      </c>
      <c r="D38" s="72" t="s">
        <v>768</v>
      </c>
      <c r="E38" s="64">
        <f>(ROW()-ROW(E$27)+1)*首页!$B$6</f>
        <v>11520</v>
      </c>
      <c r="F38" s="72" t="s">
        <v>790</v>
      </c>
      <c r="G38" s="64">
        <f>E38/首页!$E$6</f>
        <v>144</v>
      </c>
    </row>
    <row r="39" spans="1:7" outlineLevel="1" x14ac:dyDescent="0.3">
      <c r="A39" s="56">
        <v>13</v>
      </c>
      <c r="B39" s="67" t="s">
        <v>1947</v>
      </c>
      <c r="C39" s="67" t="s">
        <v>746</v>
      </c>
      <c r="D39" s="72" t="s">
        <v>769</v>
      </c>
      <c r="E39" s="64">
        <f>(ROW()-ROW(E$27)+1)*首页!$B$6</f>
        <v>12480</v>
      </c>
      <c r="F39" s="72" t="s">
        <v>791</v>
      </c>
      <c r="G39" s="64">
        <f>E39/首页!$E$6</f>
        <v>156</v>
      </c>
    </row>
    <row r="40" spans="1:7" outlineLevel="1" x14ac:dyDescent="0.3">
      <c r="A40" s="56">
        <v>14</v>
      </c>
      <c r="B40" s="67" t="s">
        <v>1947</v>
      </c>
      <c r="C40" s="67" t="s">
        <v>747</v>
      </c>
      <c r="D40" s="72" t="s">
        <v>770</v>
      </c>
      <c r="E40" s="64">
        <f>(ROW()-ROW(E$27)+1)*首页!$B$6</f>
        <v>13440</v>
      </c>
      <c r="F40" s="72" t="s">
        <v>792</v>
      </c>
      <c r="G40" s="64">
        <f>E40/首页!$E$6</f>
        <v>168</v>
      </c>
    </row>
    <row r="41" spans="1:7" outlineLevel="1" x14ac:dyDescent="0.3">
      <c r="A41" s="56">
        <v>15</v>
      </c>
      <c r="B41" s="67" t="s">
        <v>1947</v>
      </c>
      <c r="C41" s="67" t="s">
        <v>748</v>
      </c>
      <c r="D41" s="72" t="s">
        <v>771</v>
      </c>
      <c r="E41" s="64">
        <f>(ROW()-ROW(E$27)+1)*首页!$B$6</f>
        <v>14400</v>
      </c>
      <c r="F41" s="72" t="s">
        <v>793</v>
      </c>
      <c r="G41" s="64">
        <f>E41/首页!$E$6</f>
        <v>180</v>
      </c>
    </row>
    <row r="42" spans="1:7" outlineLevel="1" x14ac:dyDescent="0.3">
      <c r="A42" s="56">
        <v>16</v>
      </c>
      <c r="B42" s="67" t="s">
        <v>1947</v>
      </c>
      <c r="C42" s="67" t="s">
        <v>749</v>
      </c>
      <c r="D42" s="72" t="s">
        <v>772</v>
      </c>
      <c r="E42" s="64">
        <f>(ROW()-ROW(E$27)+1)*首页!$B$6</f>
        <v>15360</v>
      </c>
      <c r="F42" s="72" t="s">
        <v>794</v>
      </c>
      <c r="G42" s="64">
        <f>E42/首页!$E$6</f>
        <v>192</v>
      </c>
    </row>
    <row r="43" spans="1:7" outlineLevel="1" x14ac:dyDescent="0.3">
      <c r="A43" s="56">
        <v>17</v>
      </c>
      <c r="B43" s="67" t="s">
        <v>1947</v>
      </c>
      <c r="C43" s="67" t="s">
        <v>750</v>
      </c>
      <c r="D43" s="72" t="s">
        <v>773</v>
      </c>
      <c r="E43" s="64">
        <f>(ROW()-ROW(E$27)+1)*首页!$B$6</f>
        <v>16320</v>
      </c>
      <c r="F43" s="72" t="s">
        <v>795</v>
      </c>
      <c r="G43" s="64">
        <f>E43/首页!$E$6</f>
        <v>204</v>
      </c>
    </row>
    <row r="44" spans="1:7" outlineLevel="1" x14ac:dyDescent="0.3">
      <c r="A44" s="56">
        <v>18</v>
      </c>
      <c r="B44" s="67" t="s">
        <v>1947</v>
      </c>
      <c r="C44" s="67" t="s">
        <v>751</v>
      </c>
      <c r="D44" s="72" t="s">
        <v>774</v>
      </c>
      <c r="E44" s="64">
        <f>(ROW()-ROW(E$27)+1)*首页!$B$6</f>
        <v>17280</v>
      </c>
      <c r="F44" s="72" t="s">
        <v>796</v>
      </c>
      <c r="G44" s="64">
        <f>E44/首页!$E$6</f>
        <v>216</v>
      </c>
    </row>
    <row r="45" spans="1:7" outlineLevel="1" x14ac:dyDescent="0.3">
      <c r="A45" s="56">
        <v>19</v>
      </c>
      <c r="B45" s="67" t="s">
        <v>1947</v>
      </c>
      <c r="C45" s="67" t="s">
        <v>752</v>
      </c>
      <c r="D45" s="72" t="s">
        <v>775</v>
      </c>
      <c r="E45" s="64">
        <f>(ROW()-ROW(E$27)+1)*首页!$B$6</f>
        <v>18240</v>
      </c>
      <c r="F45" s="72" t="s">
        <v>797</v>
      </c>
      <c r="G45" s="64">
        <f>E45/首页!$E$6</f>
        <v>228</v>
      </c>
    </row>
    <row r="46" spans="1:7" outlineLevel="1" x14ac:dyDescent="0.3">
      <c r="A46" s="56">
        <v>20</v>
      </c>
      <c r="B46" s="67" t="s">
        <v>1947</v>
      </c>
      <c r="C46" s="67" t="s">
        <v>753</v>
      </c>
      <c r="D46" s="72" t="s">
        <v>776</v>
      </c>
      <c r="E46" s="64">
        <f>(ROW()-ROW(E$27)+1)*首页!$B$6</f>
        <v>19200</v>
      </c>
      <c r="F46" s="72" t="s">
        <v>798</v>
      </c>
      <c r="G46" s="64">
        <f>E46/首页!$E$6</f>
        <v>240</v>
      </c>
    </row>
    <row r="47" spans="1:7" outlineLevel="1" x14ac:dyDescent="0.3">
      <c r="A47" s="56">
        <v>21</v>
      </c>
      <c r="B47" s="67" t="s">
        <v>1947</v>
      </c>
      <c r="C47" s="67" t="s">
        <v>754</v>
      </c>
      <c r="D47" s="72" t="s">
        <v>777</v>
      </c>
      <c r="E47" s="64">
        <f>(ROW()-ROW(E$27)+1)*首页!$B$6</f>
        <v>20160</v>
      </c>
      <c r="F47" s="72" t="s">
        <v>799</v>
      </c>
      <c r="G47" s="64">
        <f>E47/首页!$E$6</f>
        <v>252</v>
      </c>
    </row>
    <row r="48" spans="1:7" outlineLevel="1" x14ac:dyDescent="0.3">
      <c r="A48" s="56">
        <v>22</v>
      </c>
      <c r="B48" s="67" t="s">
        <v>1947</v>
      </c>
      <c r="C48" s="67" t="s">
        <v>755</v>
      </c>
      <c r="D48" s="72" t="s">
        <v>778</v>
      </c>
      <c r="E48" s="64">
        <f>(ROW()-ROW(E$27)+1)*首页!$B$6</f>
        <v>21120</v>
      </c>
      <c r="F48" s="72" t="s">
        <v>800</v>
      </c>
      <c r="G48" s="64">
        <f>E48/首页!$E$6</f>
        <v>264</v>
      </c>
    </row>
    <row r="49" spans="1:7" outlineLevel="1" x14ac:dyDescent="0.3">
      <c r="A49" s="56">
        <v>23</v>
      </c>
      <c r="B49" s="67" t="s">
        <v>1947</v>
      </c>
      <c r="C49" s="67" t="s">
        <v>756</v>
      </c>
      <c r="D49" s="72" t="s">
        <v>779</v>
      </c>
      <c r="E49" s="64">
        <f>(ROW()-ROW(E$27)+1)*首页!$B$6</f>
        <v>22080</v>
      </c>
      <c r="F49" s="72" t="s">
        <v>801</v>
      </c>
      <c r="G49" s="64">
        <f>E49/首页!$E$6</f>
        <v>276</v>
      </c>
    </row>
    <row r="50" spans="1:7" outlineLevel="1" x14ac:dyDescent="0.3">
      <c r="A50" s="56">
        <v>24</v>
      </c>
      <c r="B50" s="67" t="s">
        <v>1947</v>
      </c>
      <c r="C50" s="67" t="s">
        <v>757</v>
      </c>
      <c r="D50" s="72" t="s">
        <v>780</v>
      </c>
      <c r="E50" s="64">
        <f>(ROW()-ROW(E$27)+1)*首页!$B$6</f>
        <v>23040</v>
      </c>
      <c r="F50" s="72" t="s">
        <v>802</v>
      </c>
      <c r="G50" s="64">
        <f>E50/首页!$E$6</f>
        <v>288</v>
      </c>
    </row>
    <row r="51" spans="1:7" outlineLevel="1" x14ac:dyDescent="0.3">
      <c r="A51" s="56">
        <v>25</v>
      </c>
      <c r="B51" s="68" t="s">
        <v>1947</v>
      </c>
      <c r="C51" s="68" t="s">
        <v>758</v>
      </c>
      <c r="D51" s="73" t="s">
        <v>1070</v>
      </c>
      <c r="E51" s="65">
        <f>(ROW()-ROW(E$27)+1)*首页!$B$6</f>
        <v>24000</v>
      </c>
      <c r="F51" s="73" t="s">
        <v>1072</v>
      </c>
      <c r="G51" s="65">
        <f>E51/首页!$E$6</f>
        <v>300</v>
      </c>
    </row>
    <row r="53" spans="1:7" outlineLevel="1" x14ac:dyDescent="0.3">
      <c r="A53" s="56" t="s">
        <v>2059</v>
      </c>
      <c r="B53" s="3" t="s">
        <v>1945</v>
      </c>
      <c r="C53" s="9" t="s">
        <v>0</v>
      </c>
      <c r="D53" s="3" t="s">
        <v>1</v>
      </c>
      <c r="E53" s="10" t="s">
        <v>1944</v>
      </c>
      <c r="F53" s="3" t="s">
        <v>3</v>
      </c>
      <c r="G53" s="10" t="s">
        <v>1944</v>
      </c>
    </row>
    <row r="54" spans="1:7" outlineLevel="1" x14ac:dyDescent="0.3">
      <c r="A54" s="56">
        <v>2</v>
      </c>
      <c r="B54" s="59" t="s">
        <v>1948</v>
      </c>
      <c r="C54" s="17" t="s">
        <v>803</v>
      </c>
      <c r="D54" s="18" t="s">
        <v>1065</v>
      </c>
      <c r="E54" s="19">
        <f>(ROW()-ROW(E$53)+1)*首页!$B$7</f>
        <v>5760</v>
      </c>
      <c r="F54" s="18" t="s">
        <v>1067</v>
      </c>
      <c r="G54" s="19">
        <f>E54/首页!$E$7</f>
        <v>72</v>
      </c>
    </row>
    <row r="55" spans="1:7" outlineLevel="1" x14ac:dyDescent="0.3">
      <c r="A55" s="56">
        <v>3</v>
      </c>
      <c r="B55" s="59" t="s">
        <v>1948</v>
      </c>
      <c r="C55" s="16" t="s">
        <v>804</v>
      </c>
      <c r="D55" s="20" t="s">
        <v>827</v>
      </c>
      <c r="E55" s="21">
        <f>(ROW()-ROW(E$53)+1)*首页!$B$7</f>
        <v>8640</v>
      </c>
      <c r="F55" s="20" t="s">
        <v>849</v>
      </c>
      <c r="G55" s="21">
        <f>E55/首页!$E$7</f>
        <v>108</v>
      </c>
    </row>
    <row r="56" spans="1:7" outlineLevel="1" x14ac:dyDescent="0.3">
      <c r="A56" s="56">
        <v>4</v>
      </c>
      <c r="B56" s="59" t="s">
        <v>1948</v>
      </c>
      <c r="C56" s="16" t="s">
        <v>805</v>
      </c>
      <c r="D56" s="20" t="s">
        <v>828</v>
      </c>
      <c r="E56" s="21">
        <f>(ROW()-ROW(E$53)+1)*首页!$B$7</f>
        <v>11520</v>
      </c>
      <c r="F56" s="20" t="s">
        <v>850</v>
      </c>
      <c r="G56" s="21">
        <f>E56/首页!$E$7</f>
        <v>144</v>
      </c>
    </row>
    <row r="57" spans="1:7" outlineLevel="1" x14ac:dyDescent="0.3">
      <c r="A57" s="56">
        <v>5</v>
      </c>
      <c r="B57" s="59" t="s">
        <v>1948</v>
      </c>
      <c r="C57" s="16" t="s">
        <v>806</v>
      </c>
      <c r="D57" s="20" t="s">
        <v>829</v>
      </c>
      <c r="E57" s="21">
        <f>(ROW()-ROW(E$53)+1)*首页!$B$7</f>
        <v>14400</v>
      </c>
      <c r="F57" s="20" t="s">
        <v>851</v>
      </c>
      <c r="G57" s="21">
        <f>E57/首页!$E$7</f>
        <v>180</v>
      </c>
    </row>
    <row r="58" spans="1:7" outlineLevel="1" x14ac:dyDescent="0.3">
      <c r="A58" s="56">
        <v>6</v>
      </c>
      <c r="B58" s="59" t="s">
        <v>1948</v>
      </c>
      <c r="C58" s="16" t="s">
        <v>807</v>
      </c>
      <c r="D58" s="20" t="s">
        <v>830</v>
      </c>
      <c r="E58" s="21">
        <f>(ROW()-ROW(E$53)+1)*首页!$B$7</f>
        <v>17280</v>
      </c>
      <c r="F58" s="20" t="s">
        <v>852</v>
      </c>
      <c r="G58" s="21">
        <f>E58/首页!$E$7</f>
        <v>216</v>
      </c>
    </row>
    <row r="59" spans="1:7" outlineLevel="1" x14ac:dyDescent="0.3">
      <c r="A59" s="56">
        <v>7</v>
      </c>
      <c r="B59" s="59" t="s">
        <v>1948</v>
      </c>
      <c r="C59" s="16" t="s">
        <v>808</v>
      </c>
      <c r="D59" s="20" t="s">
        <v>831</v>
      </c>
      <c r="E59" s="21">
        <f>(ROW()-ROW(E$53)+1)*首页!$B$7</f>
        <v>20160</v>
      </c>
      <c r="F59" s="20" t="s">
        <v>853</v>
      </c>
      <c r="G59" s="21">
        <f>E59/首页!$E$7</f>
        <v>252</v>
      </c>
    </row>
    <row r="60" spans="1:7" outlineLevel="1" x14ac:dyDescent="0.3">
      <c r="A60" s="56">
        <v>8</v>
      </c>
      <c r="B60" s="59" t="s">
        <v>1948</v>
      </c>
      <c r="C60" s="16" t="s">
        <v>809</v>
      </c>
      <c r="D60" s="20" t="s">
        <v>832</v>
      </c>
      <c r="E60" s="21">
        <f>(ROW()-ROW(E$53)+1)*首页!$B$7</f>
        <v>23040</v>
      </c>
      <c r="F60" s="20" t="s">
        <v>854</v>
      </c>
      <c r="G60" s="21">
        <f>E60/首页!$E$7</f>
        <v>288</v>
      </c>
    </row>
    <row r="61" spans="1:7" outlineLevel="1" x14ac:dyDescent="0.3">
      <c r="A61" s="56">
        <v>9</v>
      </c>
      <c r="B61" s="59" t="s">
        <v>1948</v>
      </c>
      <c r="C61" s="16" t="s">
        <v>810</v>
      </c>
      <c r="D61" s="20" t="s">
        <v>833</v>
      </c>
      <c r="E61" s="21">
        <f>(ROW()-ROW(E$53)+1)*首页!$B$7</f>
        <v>25920</v>
      </c>
      <c r="F61" s="20" t="s">
        <v>855</v>
      </c>
      <c r="G61" s="21">
        <f>E61/首页!$E$7</f>
        <v>324</v>
      </c>
    </row>
    <row r="62" spans="1:7" outlineLevel="1" x14ac:dyDescent="0.3">
      <c r="A62" s="56">
        <v>10</v>
      </c>
      <c r="B62" s="59" t="s">
        <v>1948</v>
      </c>
      <c r="C62" s="16" t="s">
        <v>811</v>
      </c>
      <c r="D62" s="20" t="s">
        <v>834</v>
      </c>
      <c r="E62" s="21">
        <f>(ROW()-ROW(E$53)+1)*首页!$B$7</f>
        <v>28800</v>
      </c>
      <c r="F62" s="20" t="s">
        <v>856</v>
      </c>
      <c r="G62" s="21">
        <f>E62/首页!$E$7</f>
        <v>360</v>
      </c>
    </row>
    <row r="63" spans="1:7" outlineLevel="1" x14ac:dyDescent="0.3">
      <c r="A63" s="56">
        <v>11</v>
      </c>
      <c r="B63" s="59" t="s">
        <v>1948</v>
      </c>
      <c r="C63" s="16" t="s">
        <v>812</v>
      </c>
      <c r="D63" s="20" t="s">
        <v>835</v>
      </c>
      <c r="E63" s="21">
        <f>(ROW()-ROW(E$53)+1)*首页!$B$7</f>
        <v>31680</v>
      </c>
      <c r="F63" s="20" t="s">
        <v>857</v>
      </c>
      <c r="G63" s="21">
        <f>E63/首页!$E$7</f>
        <v>396</v>
      </c>
    </row>
    <row r="64" spans="1:7" outlineLevel="1" x14ac:dyDescent="0.3">
      <c r="A64" s="56">
        <v>12</v>
      </c>
      <c r="B64" s="59" t="s">
        <v>1948</v>
      </c>
      <c r="C64" s="16" t="s">
        <v>813</v>
      </c>
      <c r="D64" s="20" t="s">
        <v>836</v>
      </c>
      <c r="E64" s="21">
        <f>(ROW()-ROW(E$53)+1)*首页!$B$7</f>
        <v>34560</v>
      </c>
      <c r="F64" s="20" t="s">
        <v>858</v>
      </c>
      <c r="G64" s="21">
        <f>E64/首页!$E$7</f>
        <v>432</v>
      </c>
    </row>
    <row r="65" spans="1:7" outlineLevel="1" x14ac:dyDescent="0.3">
      <c r="A65" s="56">
        <v>13</v>
      </c>
      <c r="B65" s="59" t="s">
        <v>1948</v>
      </c>
      <c r="C65" s="16" t="s">
        <v>814</v>
      </c>
      <c r="D65" s="20" t="s">
        <v>837</v>
      </c>
      <c r="E65" s="21">
        <f>(ROW()-ROW(E$53)+1)*首页!$B$7</f>
        <v>37440</v>
      </c>
      <c r="F65" s="20" t="s">
        <v>859</v>
      </c>
      <c r="G65" s="21">
        <f>E65/首页!$E$7</f>
        <v>468</v>
      </c>
    </row>
    <row r="66" spans="1:7" outlineLevel="1" x14ac:dyDescent="0.3">
      <c r="A66" s="56">
        <v>14</v>
      </c>
      <c r="B66" s="59" t="s">
        <v>1948</v>
      </c>
      <c r="C66" s="16" t="s">
        <v>815</v>
      </c>
      <c r="D66" s="20" t="s">
        <v>838</v>
      </c>
      <c r="E66" s="21">
        <f>(ROW()-ROW(E$53)+1)*首页!$B$7</f>
        <v>40320</v>
      </c>
      <c r="F66" s="20" t="s">
        <v>860</v>
      </c>
      <c r="G66" s="21">
        <f>E66/首页!$E$7</f>
        <v>504</v>
      </c>
    </row>
    <row r="67" spans="1:7" outlineLevel="1" x14ac:dyDescent="0.3">
      <c r="A67" s="56">
        <v>15</v>
      </c>
      <c r="B67" s="59" t="s">
        <v>1948</v>
      </c>
      <c r="C67" s="16" t="s">
        <v>816</v>
      </c>
      <c r="D67" s="20" t="s">
        <v>839</v>
      </c>
      <c r="E67" s="21">
        <f>(ROW()-ROW(E$53)+1)*首页!$B$7</f>
        <v>43200</v>
      </c>
      <c r="F67" s="20" t="s">
        <v>861</v>
      </c>
      <c r="G67" s="21">
        <f>E67/首页!$E$7</f>
        <v>540</v>
      </c>
    </row>
    <row r="68" spans="1:7" outlineLevel="1" x14ac:dyDescent="0.3">
      <c r="A68" s="56">
        <v>16</v>
      </c>
      <c r="B68" s="59" t="s">
        <v>1948</v>
      </c>
      <c r="C68" s="16" t="s">
        <v>817</v>
      </c>
      <c r="D68" s="20" t="s">
        <v>840</v>
      </c>
      <c r="E68" s="21">
        <f>(ROW()-ROW(E$53)+1)*首页!$B$7</f>
        <v>46080</v>
      </c>
      <c r="F68" s="20" t="s">
        <v>862</v>
      </c>
      <c r="G68" s="21">
        <f>E68/首页!$E$7</f>
        <v>576</v>
      </c>
    </row>
    <row r="69" spans="1:7" outlineLevel="1" x14ac:dyDescent="0.3">
      <c r="A69" s="56">
        <v>17</v>
      </c>
      <c r="B69" s="59" t="s">
        <v>1948</v>
      </c>
      <c r="C69" s="16" t="s">
        <v>818</v>
      </c>
      <c r="D69" s="20" t="s">
        <v>841</v>
      </c>
      <c r="E69" s="21">
        <f>(ROW()-ROW(E$53)+1)*首页!$B$7</f>
        <v>48960</v>
      </c>
      <c r="F69" s="20" t="s">
        <v>863</v>
      </c>
      <c r="G69" s="21">
        <f>E69/首页!$E$7</f>
        <v>612</v>
      </c>
    </row>
    <row r="70" spans="1:7" outlineLevel="1" x14ac:dyDescent="0.3">
      <c r="A70" s="56">
        <v>18</v>
      </c>
      <c r="B70" s="59" t="s">
        <v>1948</v>
      </c>
      <c r="C70" s="16" t="s">
        <v>819</v>
      </c>
      <c r="D70" s="20" t="s">
        <v>842</v>
      </c>
      <c r="E70" s="21">
        <f>(ROW()-ROW(E$53)+1)*首页!$B$7</f>
        <v>51840</v>
      </c>
      <c r="F70" s="20" t="s">
        <v>864</v>
      </c>
      <c r="G70" s="21">
        <f>E70/首页!$E$7</f>
        <v>648</v>
      </c>
    </row>
    <row r="71" spans="1:7" outlineLevel="1" x14ac:dyDescent="0.3">
      <c r="A71" s="56">
        <v>19</v>
      </c>
      <c r="B71" s="59" t="s">
        <v>1948</v>
      </c>
      <c r="C71" s="16" t="s">
        <v>820</v>
      </c>
      <c r="D71" s="20" t="s">
        <v>843</v>
      </c>
      <c r="E71" s="21">
        <f>(ROW()-ROW(E$53)+1)*首页!$B$7</f>
        <v>54720</v>
      </c>
      <c r="F71" s="20" t="s">
        <v>865</v>
      </c>
      <c r="G71" s="21">
        <f>E71/首页!$E$7</f>
        <v>684</v>
      </c>
    </row>
    <row r="72" spans="1:7" outlineLevel="1" x14ac:dyDescent="0.3">
      <c r="A72" s="56">
        <v>20</v>
      </c>
      <c r="B72" s="59" t="s">
        <v>1948</v>
      </c>
      <c r="C72" s="16" t="s">
        <v>821</v>
      </c>
      <c r="D72" s="20" t="s">
        <v>844</v>
      </c>
      <c r="E72" s="21">
        <f>(ROW()-ROW(E$53)+1)*首页!$B$7</f>
        <v>57600</v>
      </c>
      <c r="F72" s="20" t="s">
        <v>866</v>
      </c>
      <c r="G72" s="21">
        <f>E72/首页!$E$7</f>
        <v>720</v>
      </c>
    </row>
    <row r="73" spans="1:7" outlineLevel="1" x14ac:dyDescent="0.3">
      <c r="A73" s="56">
        <v>21</v>
      </c>
      <c r="B73" s="59" t="s">
        <v>1948</v>
      </c>
      <c r="C73" s="16" t="s">
        <v>822</v>
      </c>
      <c r="D73" s="20" t="s">
        <v>845</v>
      </c>
      <c r="E73" s="21">
        <f>(ROW()-ROW(E$53)+1)*首页!$B$7</f>
        <v>60480</v>
      </c>
      <c r="F73" s="20" t="s">
        <v>867</v>
      </c>
      <c r="G73" s="21">
        <f>E73/首页!$E$7</f>
        <v>756</v>
      </c>
    </row>
    <row r="74" spans="1:7" outlineLevel="1" x14ac:dyDescent="0.3">
      <c r="A74" s="56">
        <v>22</v>
      </c>
      <c r="B74" s="59" t="s">
        <v>1948</v>
      </c>
      <c r="C74" s="16" t="s">
        <v>823</v>
      </c>
      <c r="D74" s="20" t="s">
        <v>846</v>
      </c>
      <c r="E74" s="21">
        <f>(ROW()-ROW(E$53)+1)*首页!$B$7</f>
        <v>63360</v>
      </c>
      <c r="F74" s="20" t="s">
        <v>868</v>
      </c>
      <c r="G74" s="21">
        <f>E74/首页!$E$7</f>
        <v>792</v>
      </c>
    </row>
    <row r="75" spans="1:7" outlineLevel="1" x14ac:dyDescent="0.3">
      <c r="A75" s="56">
        <v>23</v>
      </c>
      <c r="B75" s="59" t="s">
        <v>1948</v>
      </c>
      <c r="C75" s="16" t="s">
        <v>824</v>
      </c>
      <c r="D75" s="20" t="s">
        <v>847</v>
      </c>
      <c r="E75" s="21">
        <f>(ROW()-ROW(E$53)+1)*首页!$B$7</f>
        <v>66240</v>
      </c>
      <c r="F75" s="20" t="s">
        <v>869</v>
      </c>
      <c r="G75" s="21">
        <f>E75/首页!$E$7</f>
        <v>828</v>
      </c>
    </row>
    <row r="76" spans="1:7" outlineLevel="1" x14ac:dyDescent="0.3">
      <c r="A76" s="56">
        <v>24</v>
      </c>
      <c r="B76" s="59" t="s">
        <v>1948</v>
      </c>
      <c r="C76" s="16" t="s">
        <v>825</v>
      </c>
      <c r="D76" s="20" t="s">
        <v>848</v>
      </c>
      <c r="E76" s="21">
        <f>(ROW()-ROW(E$53)+1)*首页!$B$7</f>
        <v>69120</v>
      </c>
      <c r="F76" s="20" t="s">
        <v>870</v>
      </c>
      <c r="G76" s="21">
        <f>E76/首页!$E$7</f>
        <v>864</v>
      </c>
    </row>
    <row r="77" spans="1:7" outlineLevel="1" x14ac:dyDescent="0.3">
      <c r="A77" s="56">
        <v>25</v>
      </c>
      <c r="B77" s="60" t="s">
        <v>1948</v>
      </c>
      <c r="C77" s="27" t="s">
        <v>826</v>
      </c>
      <c r="D77" s="28" t="s">
        <v>1066</v>
      </c>
      <c r="E77" s="29">
        <f>(ROW()-ROW(E$53)+1)*首页!$B$7</f>
        <v>72000</v>
      </c>
      <c r="F77" s="28" t="s">
        <v>1068</v>
      </c>
      <c r="G77" s="29">
        <f>E77/首页!$E$7</f>
        <v>900</v>
      </c>
    </row>
  </sheetData>
  <sheetProtection sheet="1" objects="1" scenarios="1"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AB2C-34E9-4487-BCF0-151D46FBFDC5}">
  <dimension ref="A1:O128"/>
  <sheetViews>
    <sheetView topLeftCell="C55" zoomScale="70" zoomScaleNormal="70" workbookViewId="0">
      <selection activeCell="M1" sqref="M1:N1048576"/>
    </sheetView>
  </sheetViews>
  <sheetFormatPr defaultRowHeight="14" outlineLevelRow="1" outlineLevelCol="1" x14ac:dyDescent="0.3"/>
  <cols>
    <col min="1" max="1" width="5.9140625" customWidth="1"/>
    <col min="2" max="2" width="6.4140625" customWidth="1"/>
    <col min="3" max="3" width="26.33203125" customWidth="1"/>
    <col min="4" max="4" width="16.4140625" customWidth="1" outlineLevel="1"/>
    <col min="5" max="5" width="6.1640625" customWidth="1" outlineLevel="1"/>
    <col min="6" max="6" width="19.9140625" customWidth="1" outlineLevel="1"/>
    <col min="7" max="7" width="6" customWidth="1" outlineLevel="1"/>
    <col min="8" max="8" width="9.6640625" customWidth="1" outlineLevel="1"/>
    <col min="9" max="9" width="21.33203125" customWidth="1" outlineLevel="1"/>
    <col min="10" max="10" width="5.25" customWidth="1" outlineLevel="1"/>
    <col min="11" max="11" width="16.83203125" customWidth="1"/>
    <col min="12" max="12" width="6.25" customWidth="1"/>
    <col min="13" max="13" width="20.1640625" customWidth="1" outlineLevel="1"/>
    <col min="14" max="14" width="5" customWidth="1" outlineLevel="1"/>
    <col min="15" max="15" width="12.6640625" customWidth="1"/>
    <col min="21" max="21" width="26.9140625" customWidth="1"/>
    <col min="22" max="22" width="17.33203125" customWidth="1"/>
    <col min="23" max="23" width="6.58203125" customWidth="1"/>
    <col min="24" max="24" width="20.83203125" customWidth="1"/>
    <col min="25" max="25" width="6.6640625" customWidth="1"/>
    <col min="26" max="26" width="10" customWidth="1"/>
    <col min="27" max="27" width="22.25" customWidth="1"/>
    <col min="28" max="28" width="5.5" customWidth="1"/>
    <col min="29" max="29" width="17.83203125" customWidth="1"/>
    <col min="30" max="30" width="8.6640625" customWidth="1"/>
    <col min="31" max="31" width="20.58203125" customWidth="1"/>
    <col min="32" max="32" width="5.58203125" customWidth="1"/>
    <col min="33" max="33" width="22.9140625" customWidth="1"/>
    <col min="34" max="34" width="8" customWidth="1"/>
    <col min="35" max="35" width="24.58203125" customWidth="1"/>
    <col min="36" max="36" width="6.83203125" customWidth="1"/>
    <col min="37" max="37" width="12.75" customWidth="1"/>
    <col min="38" max="38" width="8.6640625" customWidth="1"/>
    <col min="39" max="39" width="25.75" customWidth="1"/>
    <col min="40" max="40" width="16.4140625" customWidth="1"/>
    <col min="41" max="41" width="8.6640625" customWidth="1"/>
    <col min="42" max="42" width="20.1640625" customWidth="1"/>
    <col min="43" max="44" width="8.6640625" customWidth="1"/>
    <col min="45" max="45" width="21.33203125" customWidth="1"/>
    <col min="46" max="46" width="5.4140625" customWidth="1"/>
    <col min="47" max="47" width="16.08203125" customWidth="1"/>
    <col min="48" max="48" width="8.6640625" customWidth="1"/>
    <col min="49" max="49" width="20.33203125" customWidth="1"/>
    <col min="50" max="50" width="6.58203125" customWidth="1"/>
    <col min="51" max="51" width="22.5" customWidth="1"/>
    <col min="52" max="52" width="8.6640625" customWidth="1"/>
    <col min="53" max="53" width="24.25" customWidth="1"/>
    <col min="54" max="54" width="8.6640625" customWidth="1"/>
    <col min="55" max="55" width="12.4140625" customWidth="1"/>
  </cols>
  <sheetData>
    <row r="1" spans="1:15" outlineLevel="1" x14ac:dyDescent="0.3">
      <c r="A1" s="56" t="s">
        <v>2059</v>
      </c>
      <c r="B1" s="57" t="s">
        <v>1945</v>
      </c>
      <c r="C1" s="120" t="s">
        <v>0</v>
      </c>
      <c r="D1" s="5" t="s">
        <v>208</v>
      </c>
      <c r="E1" s="6" t="s">
        <v>1944</v>
      </c>
      <c r="F1" s="5" t="s">
        <v>209</v>
      </c>
      <c r="G1" s="6" t="s">
        <v>1944</v>
      </c>
      <c r="H1" s="120" t="s">
        <v>210</v>
      </c>
      <c r="I1" s="5" t="s">
        <v>207</v>
      </c>
      <c r="J1" s="6" t="s">
        <v>1944</v>
      </c>
      <c r="K1" s="5" t="s">
        <v>153</v>
      </c>
      <c r="L1" s="6" t="s">
        <v>1944</v>
      </c>
      <c r="M1" s="5" t="s">
        <v>154</v>
      </c>
      <c r="N1" s="6" t="s">
        <v>1944</v>
      </c>
      <c r="O1" s="120" t="s">
        <v>204</v>
      </c>
    </row>
    <row r="2" spans="1:15" outlineLevel="1" x14ac:dyDescent="0.3">
      <c r="A2" s="56">
        <v>2</v>
      </c>
      <c r="B2" s="12" t="s">
        <v>1946</v>
      </c>
      <c r="C2" s="120" t="s">
        <v>498</v>
      </c>
      <c r="D2" s="5" t="s">
        <v>522</v>
      </c>
      <c r="E2" s="6">
        <f xml:space="preserve"> (ROW()-ROW(E$1)+1)*首页!$B$12</f>
        <v>200</v>
      </c>
      <c r="F2" s="5" t="s">
        <v>546</v>
      </c>
      <c r="G2" s="6">
        <f>(ROW()-ROW(G$1)+1)*首页!$C$12</f>
        <v>200</v>
      </c>
      <c r="H2" s="120">
        <f xml:space="preserve"> E2+G2</f>
        <v>400</v>
      </c>
      <c r="I2" s="5" t="s">
        <v>570</v>
      </c>
      <c r="J2" s="6">
        <f xml:space="preserve"> ROUNDUP(H2/首页!$E$12,0)</f>
        <v>2</v>
      </c>
      <c r="K2" s="5" t="s">
        <v>594</v>
      </c>
      <c r="L2" s="6">
        <f>(ROW()-ROW(L$1)+1)*首页!$F$12</f>
        <v>320</v>
      </c>
      <c r="M2" s="5" t="s">
        <v>618</v>
      </c>
      <c r="N2" s="6">
        <f xml:space="preserve"> ROUNDUP((ROW()-ROW(N$1)+1)*首页!$L$12*首页!$H$12,0)</f>
        <v>35</v>
      </c>
      <c r="O2" s="120">
        <f>首页!$K$12</f>
        <v>8</v>
      </c>
    </row>
    <row r="3" spans="1:15" outlineLevel="1" x14ac:dyDescent="0.3">
      <c r="A3" s="56">
        <v>3</v>
      </c>
      <c r="B3" s="12" t="s">
        <v>1946</v>
      </c>
      <c r="C3" s="11" t="s">
        <v>499</v>
      </c>
      <c r="D3" s="12" t="s">
        <v>523</v>
      </c>
      <c r="E3" s="13">
        <f xml:space="preserve"> (ROW()-ROW(E$1)+1)*首页!$B$12</f>
        <v>300</v>
      </c>
      <c r="F3" s="12" t="s">
        <v>547</v>
      </c>
      <c r="G3" s="13">
        <f>(ROW()-ROW(G$1)+1)*首页!$C$12</f>
        <v>300</v>
      </c>
      <c r="H3" s="11">
        <f xml:space="preserve"> E3+G3</f>
        <v>600</v>
      </c>
      <c r="I3" s="12" t="s">
        <v>571</v>
      </c>
      <c r="J3" s="13">
        <f xml:space="preserve"> ROUNDUP(H3/首页!$E$12,0)</f>
        <v>3</v>
      </c>
      <c r="K3" s="12" t="s">
        <v>595</v>
      </c>
      <c r="L3" s="13">
        <f>(ROW()-ROW(L$1)+1)*首页!$F$12</f>
        <v>480</v>
      </c>
      <c r="M3" s="12" t="s">
        <v>619</v>
      </c>
      <c r="N3" s="13">
        <f xml:space="preserve"> ROUNDUP((ROW()-ROW(N$1)+1)*首页!$L$12*首页!$H$12,0)</f>
        <v>53</v>
      </c>
      <c r="O3" s="11">
        <f>首页!$K$12</f>
        <v>8</v>
      </c>
    </row>
    <row r="4" spans="1:15" outlineLevel="1" x14ac:dyDescent="0.3">
      <c r="A4" s="56">
        <v>4</v>
      </c>
      <c r="B4" s="12" t="s">
        <v>1946</v>
      </c>
      <c r="C4" s="11" t="s">
        <v>500</v>
      </c>
      <c r="D4" s="12" t="s">
        <v>524</v>
      </c>
      <c r="E4" s="13">
        <f xml:space="preserve"> (ROW()-ROW(E$1)+1)*首页!$B$12</f>
        <v>400</v>
      </c>
      <c r="F4" s="12" t="s">
        <v>548</v>
      </c>
      <c r="G4" s="13">
        <f>(ROW()-ROW(G$1)+1)*首页!$C$12</f>
        <v>400</v>
      </c>
      <c r="H4" s="11">
        <f xml:space="preserve"> E4+G4</f>
        <v>800</v>
      </c>
      <c r="I4" s="12" t="s">
        <v>572</v>
      </c>
      <c r="J4" s="13">
        <f xml:space="preserve"> ROUNDUP(H4/首页!$E$12,0)</f>
        <v>4</v>
      </c>
      <c r="K4" s="12" t="s">
        <v>596</v>
      </c>
      <c r="L4" s="13">
        <f>(ROW()-ROW(L$1)+1)*首页!$F$12</f>
        <v>640</v>
      </c>
      <c r="M4" s="12" t="s">
        <v>620</v>
      </c>
      <c r="N4" s="13">
        <f xml:space="preserve"> ROUNDUP((ROW()-ROW(N$1)+1)*首页!$L$12*首页!$H$12,0)</f>
        <v>70</v>
      </c>
      <c r="O4" s="11">
        <f>首页!$K$12</f>
        <v>8</v>
      </c>
    </row>
    <row r="5" spans="1:15" outlineLevel="1" x14ac:dyDescent="0.3">
      <c r="A5" s="56">
        <v>5</v>
      </c>
      <c r="B5" s="12" t="s">
        <v>1946</v>
      </c>
      <c r="C5" s="11" t="s">
        <v>501</v>
      </c>
      <c r="D5" s="12" t="s">
        <v>525</v>
      </c>
      <c r="E5" s="13">
        <f xml:space="preserve"> (ROW()-ROW(E$1)+1)*首页!$B$12</f>
        <v>500</v>
      </c>
      <c r="F5" s="12" t="s">
        <v>549</v>
      </c>
      <c r="G5" s="13">
        <f>(ROW()-ROW(G$1)+1)*首页!$C$12</f>
        <v>500</v>
      </c>
      <c r="H5" s="11">
        <f xml:space="preserve"> E5+G5</f>
        <v>1000</v>
      </c>
      <c r="I5" s="12" t="s">
        <v>573</v>
      </c>
      <c r="J5" s="13">
        <f xml:space="preserve"> ROUNDUP(H5/首页!$E$12,0)</f>
        <v>5</v>
      </c>
      <c r="K5" s="12" t="s">
        <v>597</v>
      </c>
      <c r="L5" s="13">
        <f>(ROW()-ROW(L$1)+1)*首页!$F$12</f>
        <v>800</v>
      </c>
      <c r="M5" s="12" t="s">
        <v>621</v>
      </c>
      <c r="N5" s="13">
        <f xml:space="preserve"> ROUNDUP((ROW()-ROW(N$1)+1)*首页!$L$12*首页!$H$12,0)</f>
        <v>88</v>
      </c>
      <c r="O5" s="11">
        <f>首页!$K$12</f>
        <v>8</v>
      </c>
    </row>
    <row r="6" spans="1:15" outlineLevel="1" x14ac:dyDescent="0.3">
      <c r="A6" s="56">
        <v>6</v>
      </c>
      <c r="B6" s="12" t="s">
        <v>1946</v>
      </c>
      <c r="C6" s="11" t="s">
        <v>502</v>
      </c>
      <c r="D6" s="12" t="s">
        <v>526</v>
      </c>
      <c r="E6" s="13">
        <f xml:space="preserve"> (ROW()-ROW(E$1)+1)*首页!$B$12</f>
        <v>600</v>
      </c>
      <c r="F6" s="12" t="s">
        <v>550</v>
      </c>
      <c r="G6" s="13">
        <f>(ROW()-ROW(G$1)+1)*首页!$C$12</f>
        <v>600</v>
      </c>
      <c r="H6" s="11">
        <f xml:space="preserve"> E6+G6</f>
        <v>1200</v>
      </c>
      <c r="I6" s="12" t="s">
        <v>574</v>
      </c>
      <c r="J6" s="13">
        <f xml:space="preserve"> ROUNDUP(H6/首页!$E$12,0)</f>
        <v>6</v>
      </c>
      <c r="K6" s="12" t="s">
        <v>598</v>
      </c>
      <c r="L6" s="13">
        <f>(ROW()-ROW(L$1)+1)*首页!$F$12</f>
        <v>960</v>
      </c>
      <c r="M6" s="12" t="s">
        <v>622</v>
      </c>
      <c r="N6" s="13">
        <f xml:space="preserve"> ROUNDUP((ROW()-ROW(N$1)+1)*首页!$L$12*首页!$H$12,0)</f>
        <v>105</v>
      </c>
      <c r="O6" s="11">
        <f>首页!$K$12</f>
        <v>8</v>
      </c>
    </row>
    <row r="7" spans="1:15" outlineLevel="1" x14ac:dyDescent="0.3">
      <c r="A7" s="56">
        <v>7</v>
      </c>
      <c r="B7" s="12" t="s">
        <v>1946</v>
      </c>
      <c r="C7" s="11" t="s">
        <v>503</v>
      </c>
      <c r="D7" s="12" t="s">
        <v>527</v>
      </c>
      <c r="E7" s="13">
        <f xml:space="preserve"> (ROW()-ROW(E$1)+1)*首页!$B$12</f>
        <v>700</v>
      </c>
      <c r="F7" s="12" t="s">
        <v>551</v>
      </c>
      <c r="G7" s="13">
        <f>(ROW()-ROW(G$1)+1)*首页!$C$12</f>
        <v>700</v>
      </c>
      <c r="H7" s="11">
        <f xml:space="preserve"> E7+G7</f>
        <v>1400</v>
      </c>
      <c r="I7" s="12" t="s">
        <v>575</v>
      </c>
      <c r="J7" s="13">
        <f xml:space="preserve"> ROUNDUP(H7/首页!$E$12,0)</f>
        <v>7</v>
      </c>
      <c r="K7" s="12" t="s">
        <v>599</v>
      </c>
      <c r="L7" s="13">
        <f>(ROW()-ROW(L$1)+1)*首页!$F$12</f>
        <v>1120</v>
      </c>
      <c r="M7" s="12" t="s">
        <v>623</v>
      </c>
      <c r="N7" s="13">
        <f xml:space="preserve"> ROUNDUP((ROW()-ROW(N$1)+1)*首页!$L$12*首页!$H$12,0)</f>
        <v>123</v>
      </c>
      <c r="O7" s="11">
        <f>首页!$K$12</f>
        <v>8</v>
      </c>
    </row>
    <row r="8" spans="1:15" outlineLevel="1" x14ac:dyDescent="0.3">
      <c r="A8" s="56">
        <v>8</v>
      </c>
      <c r="B8" s="12" t="s">
        <v>1946</v>
      </c>
      <c r="C8" s="11" t="s">
        <v>504</v>
      </c>
      <c r="D8" s="12" t="s">
        <v>528</v>
      </c>
      <c r="E8" s="13">
        <f xml:space="preserve"> (ROW()-ROW(E$1)+1)*首页!$B$12</f>
        <v>800</v>
      </c>
      <c r="F8" s="12" t="s">
        <v>552</v>
      </c>
      <c r="G8" s="13">
        <f>(ROW()-ROW(G$1)+1)*首页!$C$12</f>
        <v>800</v>
      </c>
      <c r="H8" s="11">
        <f xml:space="preserve"> E8+G8</f>
        <v>1600</v>
      </c>
      <c r="I8" s="12" t="s">
        <v>576</v>
      </c>
      <c r="J8" s="13">
        <f xml:space="preserve"> ROUNDUP(H8/首页!$E$12,0)</f>
        <v>8</v>
      </c>
      <c r="K8" s="12" t="s">
        <v>600</v>
      </c>
      <c r="L8" s="13">
        <f>(ROW()-ROW(L$1)+1)*首页!$F$12</f>
        <v>1280</v>
      </c>
      <c r="M8" s="12" t="s">
        <v>624</v>
      </c>
      <c r="N8" s="13">
        <f xml:space="preserve"> ROUNDUP((ROW()-ROW(N$1)+1)*首页!$L$12*首页!$H$12,0)</f>
        <v>140</v>
      </c>
      <c r="O8" s="11">
        <f>首页!$K$12</f>
        <v>8</v>
      </c>
    </row>
    <row r="9" spans="1:15" outlineLevel="1" x14ac:dyDescent="0.3">
      <c r="A9" s="56">
        <v>9</v>
      </c>
      <c r="B9" s="12" t="s">
        <v>1946</v>
      </c>
      <c r="C9" s="11" t="s">
        <v>505</v>
      </c>
      <c r="D9" s="12" t="s">
        <v>529</v>
      </c>
      <c r="E9" s="13">
        <f xml:space="preserve"> (ROW()-ROW(E$1)+1)*首页!$B$12</f>
        <v>900</v>
      </c>
      <c r="F9" s="12" t="s">
        <v>553</v>
      </c>
      <c r="G9" s="13">
        <f>(ROW()-ROW(G$1)+1)*首页!$C$12</f>
        <v>900</v>
      </c>
      <c r="H9" s="11">
        <f xml:space="preserve"> E9+G9</f>
        <v>1800</v>
      </c>
      <c r="I9" s="12" t="s">
        <v>577</v>
      </c>
      <c r="J9" s="13">
        <f xml:space="preserve"> ROUNDUP(H9/首页!$E$12,0)</f>
        <v>9</v>
      </c>
      <c r="K9" s="12" t="s">
        <v>601</v>
      </c>
      <c r="L9" s="13">
        <f>(ROW()-ROW(L$1)+1)*首页!$F$12</f>
        <v>1440</v>
      </c>
      <c r="M9" s="12" t="s">
        <v>625</v>
      </c>
      <c r="N9" s="13">
        <f xml:space="preserve"> ROUNDUP((ROW()-ROW(N$1)+1)*首页!$L$12*首页!$H$12,0)</f>
        <v>158</v>
      </c>
      <c r="O9" s="11">
        <f>首页!$K$12</f>
        <v>8</v>
      </c>
    </row>
    <row r="10" spans="1:15" outlineLevel="1" x14ac:dyDescent="0.3">
      <c r="A10" s="56">
        <v>10</v>
      </c>
      <c r="B10" s="12" t="s">
        <v>1946</v>
      </c>
      <c r="C10" s="11" t="s">
        <v>506</v>
      </c>
      <c r="D10" s="12" t="s">
        <v>530</v>
      </c>
      <c r="E10" s="13">
        <f xml:space="preserve"> (ROW()-ROW(E$1)+1)*首页!$B$12</f>
        <v>1000</v>
      </c>
      <c r="F10" s="12" t="s">
        <v>554</v>
      </c>
      <c r="G10" s="13">
        <f>(ROW()-ROW(G$1)+1)*首页!$C$12</f>
        <v>1000</v>
      </c>
      <c r="H10" s="11">
        <f xml:space="preserve"> E10+G10</f>
        <v>2000</v>
      </c>
      <c r="I10" s="12" t="s">
        <v>578</v>
      </c>
      <c r="J10" s="13">
        <f xml:space="preserve"> ROUNDUP(H10/首页!$E$12,0)</f>
        <v>10</v>
      </c>
      <c r="K10" s="12" t="s">
        <v>602</v>
      </c>
      <c r="L10" s="13">
        <f>(ROW()-ROW(L$1)+1)*首页!$F$12</f>
        <v>1600</v>
      </c>
      <c r="M10" s="12" t="s">
        <v>626</v>
      </c>
      <c r="N10" s="13">
        <f xml:space="preserve"> ROUNDUP((ROW()-ROW(N$1)+1)*首页!$L$12*首页!$H$12,0)</f>
        <v>175</v>
      </c>
      <c r="O10" s="11">
        <f>首页!$K$12</f>
        <v>8</v>
      </c>
    </row>
    <row r="11" spans="1:15" outlineLevel="1" x14ac:dyDescent="0.3">
      <c r="A11" s="56">
        <v>11</v>
      </c>
      <c r="B11" s="12" t="s">
        <v>1946</v>
      </c>
      <c r="C11" s="11" t="s">
        <v>507</v>
      </c>
      <c r="D11" s="12" t="s">
        <v>531</v>
      </c>
      <c r="E11" s="13">
        <f xml:space="preserve"> (ROW()-ROW(E$1)+1)*首页!$B$12</f>
        <v>1100</v>
      </c>
      <c r="F11" s="12" t="s">
        <v>555</v>
      </c>
      <c r="G11" s="13">
        <f>(ROW()-ROW(G$1)+1)*首页!$C$12</f>
        <v>1100</v>
      </c>
      <c r="H11" s="11">
        <f xml:space="preserve"> E11+G11</f>
        <v>2200</v>
      </c>
      <c r="I11" s="12" t="s">
        <v>579</v>
      </c>
      <c r="J11" s="13">
        <f xml:space="preserve"> ROUNDUP(H11/首页!$E$12,0)</f>
        <v>11</v>
      </c>
      <c r="K11" s="12" t="s">
        <v>603</v>
      </c>
      <c r="L11" s="13">
        <f>(ROW()-ROW(L$1)+1)*首页!$F$12</f>
        <v>1760</v>
      </c>
      <c r="M11" s="12" t="s">
        <v>627</v>
      </c>
      <c r="N11" s="13">
        <f xml:space="preserve"> ROUNDUP((ROW()-ROW(N$1)+1)*首页!$L$12*首页!$H$12,0)</f>
        <v>193</v>
      </c>
      <c r="O11" s="11">
        <f>首页!$K$12</f>
        <v>8</v>
      </c>
    </row>
    <row r="12" spans="1:15" outlineLevel="1" x14ac:dyDescent="0.3">
      <c r="A12" s="56">
        <v>12</v>
      </c>
      <c r="B12" s="12" t="s">
        <v>1946</v>
      </c>
      <c r="C12" s="11" t="s">
        <v>508</v>
      </c>
      <c r="D12" s="12" t="s">
        <v>532</v>
      </c>
      <c r="E12" s="13">
        <f xml:space="preserve"> (ROW()-ROW(E$1)+1)*首页!$B$12</f>
        <v>1200</v>
      </c>
      <c r="F12" s="12" t="s">
        <v>556</v>
      </c>
      <c r="G12" s="13">
        <f>(ROW()-ROW(G$1)+1)*首页!$C$12</f>
        <v>1200</v>
      </c>
      <c r="H12" s="11">
        <f xml:space="preserve"> E12+G12</f>
        <v>2400</v>
      </c>
      <c r="I12" s="12" t="s">
        <v>580</v>
      </c>
      <c r="J12" s="13">
        <f xml:space="preserve"> ROUNDUP(H12/首页!$E$12,0)</f>
        <v>12</v>
      </c>
      <c r="K12" s="12" t="s">
        <v>604</v>
      </c>
      <c r="L12" s="13">
        <f>(ROW()-ROW(L$1)+1)*首页!$F$12</f>
        <v>1920</v>
      </c>
      <c r="M12" s="12" t="s">
        <v>628</v>
      </c>
      <c r="N12" s="13">
        <f xml:space="preserve"> ROUNDUP((ROW()-ROW(N$1)+1)*首页!$L$12*首页!$H$12,0)</f>
        <v>210</v>
      </c>
      <c r="O12" s="11">
        <f>首页!$K$12</f>
        <v>8</v>
      </c>
    </row>
    <row r="13" spans="1:15" outlineLevel="1" x14ac:dyDescent="0.3">
      <c r="A13" s="56">
        <v>13</v>
      </c>
      <c r="B13" s="12" t="s">
        <v>1946</v>
      </c>
      <c r="C13" s="11" t="s">
        <v>509</v>
      </c>
      <c r="D13" s="12" t="s">
        <v>533</v>
      </c>
      <c r="E13" s="13">
        <f xml:space="preserve"> (ROW()-ROW(E$1)+1)*首页!$B$12</f>
        <v>1300</v>
      </c>
      <c r="F13" s="12" t="s">
        <v>557</v>
      </c>
      <c r="G13" s="13">
        <f>(ROW()-ROW(G$1)+1)*首页!$C$12</f>
        <v>1300</v>
      </c>
      <c r="H13" s="11">
        <f xml:space="preserve"> E13+G13</f>
        <v>2600</v>
      </c>
      <c r="I13" s="12" t="s">
        <v>581</v>
      </c>
      <c r="J13" s="13">
        <f xml:space="preserve"> ROUNDUP(H13/首页!$E$12,0)</f>
        <v>13</v>
      </c>
      <c r="K13" s="12" t="s">
        <v>605</v>
      </c>
      <c r="L13" s="13">
        <f>(ROW()-ROW(L$1)+1)*首页!$F$12</f>
        <v>2080</v>
      </c>
      <c r="M13" s="12" t="s">
        <v>629</v>
      </c>
      <c r="N13" s="13">
        <f xml:space="preserve"> ROUNDUP((ROW()-ROW(N$1)+1)*首页!$L$12*首页!$H$12,0)</f>
        <v>228</v>
      </c>
      <c r="O13" s="11">
        <f>首页!$K$12</f>
        <v>8</v>
      </c>
    </row>
    <row r="14" spans="1:15" outlineLevel="1" x14ac:dyDescent="0.3">
      <c r="A14" s="56">
        <v>14</v>
      </c>
      <c r="B14" s="12" t="s">
        <v>1946</v>
      </c>
      <c r="C14" s="11" t="s">
        <v>510</v>
      </c>
      <c r="D14" s="12" t="s">
        <v>534</v>
      </c>
      <c r="E14" s="13">
        <f xml:space="preserve"> (ROW()-ROW(E$1)+1)*首页!$B$12</f>
        <v>1400</v>
      </c>
      <c r="F14" s="12" t="s">
        <v>558</v>
      </c>
      <c r="G14" s="13">
        <f>(ROW()-ROW(G$1)+1)*首页!$C$12</f>
        <v>1400</v>
      </c>
      <c r="H14" s="11">
        <f xml:space="preserve"> E14+G14</f>
        <v>2800</v>
      </c>
      <c r="I14" s="12" t="s">
        <v>582</v>
      </c>
      <c r="J14" s="13">
        <f xml:space="preserve"> ROUNDUP(H14/首页!$E$12,0)</f>
        <v>14</v>
      </c>
      <c r="K14" s="12" t="s">
        <v>606</v>
      </c>
      <c r="L14" s="13">
        <f>(ROW()-ROW(L$1)+1)*首页!$F$12</f>
        <v>2240</v>
      </c>
      <c r="M14" s="12" t="s">
        <v>630</v>
      </c>
      <c r="N14" s="13">
        <f xml:space="preserve"> ROUNDUP((ROW()-ROW(N$1)+1)*首页!$L$12*首页!$H$12,0)</f>
        <v>245</v>
      </c>
      <c r="O14" s="11">
        <f>首页!$K$12</f>
        <v>8</v>
      </c>
    </row>
    <row r="15" spans="1:15" outlineLevel="1" x14ac:dyDescent="0.3">
      <c r="A15" s="56">
        <v>15</v>
      </c>
      <c r="B15" s="12" t="s">
        <v>1946</v>
      </c>
      <c r="C15" s="11" t="s">
        <v>511</v>
      </c>
      <c r="D15" s="12" t="s">
        <v>535</v>
      </c>
      <c r="E15" s="13">
        <f xml:space="preserve"> (ROW()-ROW(E$1)+1)*首页!$B$12</f>
        <v>1500</v>
      </c>
      <c r="F15" s="12" t="s">
        <v>559</v>
      </c>
      <c r="G15" s="13">
        <f>(ROW()-ROW(G$1)+1)*首页!$C$12</f>
        <v>1500</v>
      </c>
      <c r="H15" s="11">
        <f xml:space="preserve"> E15+G15</f>
        <v>3000</v>
      </c>
      <c r="I15" s="12" t="s">
        <v>583</v>
      </c>
      <c r="J15" s="13">
        <f xml:space="preserve"> ROUNDUP(H15/首页!$E$12,0)</f>
        <v>15</v>
      </c>
      <c r="K15" s="12" t="s">
        <v>607</v>
      </c>
      <c r="L15" s="13">
        <f>(ROW()-ROW(L$1)+1)*首页!$F$12</f>
        <v>2400</v>
      </c>
      <c r="M15" s="12" t="s">
        <v>631</v>
      </c>
      <c r="N15" s="13">
        <f xml:space="preserve"> ROUNDUP((ROW()-ROW(N$1)+1)*首页!$L$12*首页!$H$12,0)</f>
        <v>263</v>
      </c>
      <c r="O15" s="11">
        <f>首页!$K$12</f>
        <v>8</v>
      </c>
    </row>
    <row r="16" spans="1:15" outlineLevel="1" x14ac:dyDescent="0.3">
      <c r="A16" s="56">
        <v>16</v>
      </c>
      <c r="B16" s="12" t="s">
        <v>1946</v>
      </c>
      <c r="C16" s="11" t="s">
        <v>512</v>
      </c>
      <c r="D16" s="12" t="s">
        <v>536</v>
      </c>
      <c r="E16" s="13">
        <f xml:space="preserve"> (ROW()-ROW(E$1)+1)*首页!$B$12</f>
        <v>1600</v>
      </c>
      <c r="F16" s="12" t="s">
        <v>560</v>
      </c>
      <c r="G16" s="13">
        <f>(ROW()-ROW(G$1)+1)*首页!$C$12</f>
        <v>1600</v>
      </c>
      <c r="H16" s="11">
        <f xml:space="preserve"> E16+G16</f>
        <v>3200</v>
      </c>
      <c r="I16" s="12" t="s">
        <v>584</v>
      </c>
      <c r="J16" s="13">
        <f xml:space="preserve"> ROUNDUP(H16/首页!$E$12,0)</f>
        <v>16</v>
      </c>
      <c r="K16" s="12" t="s">
        <v>608</v>
      </c>
      <c r="L16" s="13">
        <f>(ROW()-ROW(L$1)+1)*首页!$F$12</f>
        <v>2560</v>
      </c>
      <c r="M16" s="12" t="s">
        <v>632</v>
      </c>
      <c r="N16" s="13">
        <f xml:space="preserve"> ROUNDUP((ROW()-ROW(N$1)+1)*首页!$L$12*首页!$H$12,0)</f>
        <v>280</v>
      </c>
      <c r="O16" s="11">
        <f>首页!$K$12</f>
        <v>8</v>
      </c>
    </row>
    <row r="17" spans="1:15" outlineLevel="1" x14ac:dyDescent="0.3">
      <c r="A17" s="56">
        <v>17</v>
      </c>
      <c r="B17" s="12" t="s">
        <v>1946</v>
      </c>
      <c r="C17" s="11" t="s">
        <v>513</v>
      </c>
      <c r="D17" s="12" t="s">
        <v>537</v>
      </c>
      <c r="E17" s="13">
        <f xml:space="preserve"> (ROW()-ROW(E$1)+1)*首页!$B$12</f>
        <v>1700</v>
      </c>
      <c r="F17" s="12" t="s">
        <v>561</v>
      </c>
      <c r="G17" s="13">
        <f>(ROW()-ROW(G$1)+1)*首页!$C$12</f>
        <v>1700</v>
      </c>
      <c r="H17" s="11">
        <f xml:space="preserve"> E17+G17</f>
        <v>3400</v>
      </c>
      <c r="I17" s="12" t="s">
        <v>585</v>
      </c>
      <c r="J17" s="13">
        <f xml:space="preserve"> ROUNDUP(H17/首页!$E$12,0)</f>
        <v>17</v>
      </c>
      <c r="K17" s="12" t="s">
        <v>609</v>
      </c>
      <c r="L17" s="13">
        <f>(ROW()-ROW(L$1)+1)*首页!$F$12</f>
        <v>2720</v>
      </c>
      <c r="M17" s="12" t="s">
        <v>633</v>
      </c>
      <c r="N17" s="13">
        <f xml:space="preserve"> ROUNDUP((ROW()-ROW(N$1)+1)*首页!$L$12*首页!$H$12,0)</f>
        <v>298</v>
      </c>
      <c r="O17" s="11">
        <f>首页!$K$12</f>
        <v>8</v>
      </c>
    </row>
    <row r="18" spans="1:15" outlineLevel="1" x14ac:dyDescent="0.3">
      <c r="A18" s="56">
        <v>18</v>
      </c>
      <c r="B18" s="12" t="s">
        <v>1946</v>
      </c>
      <c r="C18" s="11" t="s">
        <v>514</v>
      </c>
      <c r="D18" s="12" t="s">
        <v>538</v>
      </c>
      <c r="E18" s="13">
        <f xml:space="preserve"> (ROW()-ROW(E$1)+1)*首页!$B$12</f>
        <v>1800</v>
      </c>
      <c r="F18" s="12" t="s">
        <v>562</v>
      </c>
      <c r="G18" s="13">
        <f>(ROW()-ROW(G$1)+1)*首页!$C$12</f>
        <v>1800</v>
      </c>
      <c r="H18" s="11">
        <f xml:space="preserve"> E18+G18</f>
        <v>3600</v>
      </c>
      <c r="I18" s="12" t="s">
        <v>586</v>
      </c>
      <c r="J18" s="13">
        <f xml:space="preserve"> ROUNDUP(H18/首页!$E$12,0)</f>
        <v>18</v>
      </c>
      <c r="K18" s="12" t="s">
        <v>610</v>
      </c>
      <c r="L18" s="13">
        <f>(ROW()-ROW(L$1)+1)*首页!$F$12</f>
        <v>2880</v>
      </c>
      <c r="M18" s="12" t="s">
        <v>634</v>
      </c>
      <c r="N18" s="13">
        <f xml:space="preserve"> ROUNDUP((ROW()-ROW(N$1)+1)*首页!$L$12*首页!$H$12,0)</f>
        <v>315</v>
      </c>
      <c r="O18" s="11">
        <f>首页!$K$12</f>
        <v>8</v>
      </c>
    </row>
    <row r="19" spans="1:15" outlineLevel="1" x14ac:dyDescent="0.3">
      <c r="A19" s="56">
        <v>19</v>
      </c>
      <c r="B19" s="12" t="s">
        <v>1946</v>
      </c>
      <c r="C19" s="11" t="s">
        <v>515</v>
      </c>
      <c r="D19" s="12" t="s">
        <v>539</v>
      </c>
      <c r="E19" s="13">
        <f xml:space="preserve"> (ROW()-ROW(E$1)+1)*首页!$B$12</f>
        <v>1900</v>
      </c>
      <c r="F19" s="12" t="s">
        <v>563</v>
      </c>
      <c r="G19" s="13">
        <f>(ROW()-ROW(G$1)+1)*首页!$C$12</f>
        <v>1900</v>
      </c>
      <c r="H19" s="11">
        <f xml:space="preserve"> E19+G19</f>
        <v>3800</v>
      </c>
      <c r="I19" s="12" t="s">
        <v>587</v>
      </c>
      <c r="J19" s="13">
        <f xml:space="preserve"> ROUNDUP(H19/首页!$E$12,0)</f>
        <v>19</v>
      </c>
      <c r="K19" s="12" t="s">
        <v>611</v>
      </c>
      <c r="L19" s="13">
        <f>(ROW()-ROW(L$1)+1)*首页!$F$12</f>
        <v>3040</v>
      </c>
      <c r="M19" s="12" t="s">
        <v>635</v>
      </c>
      <c r="N19" s="13">
        <f xml:space="preserve"> ROUNDUP((ROW()-ROW(N$1)+1)*首页!$L$12*首页!$H$12,0)</f>
        <v>333</v>
      </c>
      <c r="O19" s="11">
        <f>首页!$K$12</f>
        <v>8</v>
      </c>
    </row>
    <row r="20" spans="1:15" outlineLevel="1" x14ac:dyDescent="0.3">
      <c r="A20" s="56">
        <v>20</v>
      </c>
      <c r="B20" s="12" t="s">
        <v>1946</v>
      </c>
      <c r="C20" s="11" t="s">
        <v>516</v>
      </c>
      <c r="D20" s="12" t="s">
        <v>540</v>
      </c>
      <c r="E20" s="13">
        <f xml:space="preserve"> (ROW()-ROW(E$1)+1)*首页!$B$12</f>
        <v>2000</v>
      </c>
      <c r="F20" s="12" t="s">
        <v>564</v>
      </c>
      <c r="G20" s="13">
        <f>(ROW()-ROW(G$1)+1)*首页!$C$12</f>
        <v>2000</v>
      </c>
      <c r="H20" s="11">
        <f xml:space="preserve"> E20+G20</f>
        <v>4000</v>
      </c>
      <c r="I20" s="12" t="s">
        <v>588</v>
      </c>
      <c r="J20" s="13">
        <f xml:space="preserve"> ROUNDUP(H20/首页!$E$12,0)</f>
        <v>20</v>
      </c>
      <c r="K20" s="12" t="s">
        <v>612</v>
      </c>
      <c r="L20" s="13">
        <f>(ROW()-ROW(L$1)+1)*首页!$F$12</f>
        <v>3200</v>
      </c>
      <c r="M20" s="12" t="s">
        <v>636</v>
      </c>
      <c r="N20" s="13">
        <f xml:space="preserve"> ROUNDUP((ROW()-ROW(N$1)+1)*首页!$L$12*首页!$H$12,0)</f>
        <v>350</v>
      </c>
      <c r="O20" s="11">
        <f>首页!$K$12</f>
        <v>8</v>
      </c>
    </row>
    <row r="21" spans="1:15" outlineLevel="1" x14ac:dyDescent="0.3">
      <c r="A21" s="56">
        <v>21</v>
      </c>
      <c r="B21" s="12" t="s">
        <v>1946</v>
      </c>
      <c r="C21" s="11" t="s">
        <v>517</v>
      </c>
      <c r="D21" s="12" t="s">
        <v>541</v>
      </c>
      <c r="E21" s="13">
        <f xml:space="preserve"> (ROW()-ROW(E$1)+1)*首页!$B$12</f>
        <v>2100</v>
      </c>
      <c r="F21" s="12" t="s">
        <v>565</v>
      </c>
      <c r="G21" s="13">
        <f>(ROW()-ROW(G$1)+1)*首页!$C$12</f>
        <v>2100</v>
      </c>
      <c r="H21" s="11">
        <f xml:space="preserve"> E21+G21</f>
        <v>4200</v>
      </c>
      <c r="I21" s="12" t="s">
        <v>589</v>
      </c>
      <c r="J21" s="13">
        <f xml:space="preserve"> ROUNDUP(H21/首页!$E$12,0)</f>
        <v>21</v>
      </c>
      <c r="K21" s="12" t="s">
        <v>613</v>
      </c>
      <c r="L21" s="13">
        <f>(ROW()-ROW(L$1)+1)*首页!$F$12</f>
        <v>3360</v>
      </c>
      <c r="M21" s="12" t="s">
        <v>637</v>
      </c>
      <c r="N21" s="13">
        <f xml:space="preserve"> ROUNDUP((ROW()-ROW(N$1)+1)*首页!$L$12*首页!$H$12,0)</f>
        <v>368</v>
      </c>
      <c r="O21" s="11">
        <f>首页!$K$12</f>
        <v>8</v>
      </c>
    </row>
    <row r="22" spans="1:15" outlineLevel="1" x14ac:dyDescent="0.3">
      <c r="A22" s="56">
        <v>22</v>
      </c>
      <c r="B22" s="12" t="s">
        <v>1946</v>
      </c>
      <c r="C22" s="11" t="s">
        <v>518</v>
      </c>
      <c r="D22" s="12" t="s">
        <v>542</v>
      </c>
      <c r="E22" s="13">
        <f xml:space="preserve"> (ROW()-ROW(E$1)+1)*首页!$B$12</f>
        <v>2200</v>
      </c>
      <c r="F22" s="12" t="s">
        <v>566</v>
      </c>
      <c r="G22" s="13">
        <f>(ROW()-ROW(G$1)+1)*首页!$C$12</f>
        <v>2200</v>
      </c>
      <c r="H22" s="11">
        <f xml:space="preserve"> E22+G22</f>
        <v>4400</v>
      </c>
      <c r="I22" s="12" t="s">
        <v>590</v>
      </c>
      <c r="J22" s="13">
        <f xml:space="preserve"> ROUNDUP(H22/首页!$E$12,0)</f>
        <v>22</v>
      </c>
      <c r="K22" s="12" t="s">
        <v>614</v>
      </c>
      <c r="L22" s="13">
        <f>(ROW()-ROW(L$1)+1)*首页!$F$12</f>
        <v>3520</v>
      </c>
      <c r="M22" s="12" t="s">
        <v>638</v>
      </c>
      <c r="N22" s="13">
        <f xml:space="preserve"> ROUNDUP((ROW()-ROW(N$1)+1)*首页!$L$12*首页!$H$12,0)</f>
        <v>385</v>
      </c>
      <c r="O22" s="11">
        <f>首页!$K$12</f>
        <v>8</v>
      </c>
    </row>
    <row r="23" spans="1:15" outlineLevel="1" x14ac:dyDescent="0.3">
      <c r="A23" s="56">
        <v>23</v>
      </c>
      <c r="B23" s="12" t="s">
        <v>1946</v>
      </c>
      <c r="C23" s="11" t="s">
        <v>519</v>
      </c>
      <c r="D23" s="12" t="s">
        <v>543</v>
      </c>
      <c r="E23" s="13">
        <f xml:space="preserve"> (ROW()-ROW(E$1)+1)*首页!$B$12</f>
        <v>2300</v>
      </c>
      <c r="F23" s="12" t="s">
        <v>567</v>
      </c>
      <c r="G23" s="13">
        <f>(ROW()-ROW(G$1)+1)*首页!$C$12</f>
        <v>2300</v>
      </c>
      <c r="H23" s="11">
        <f xml:space="preserve"> E23+G23</f>
        <v>4600</v>
      </c>
      <c r="I23" s="12" t="s">
        <v>591</v>
      </c>
      <c r="J23" s="13">
        <f xml:space="preserve"> ROUNDUP(H23/首页!$E$12,0)</f>
        <v>23</v>
      </c>
      <c r="K23" s="12" t="s">
        <v>615</v>
      </c>
      <c r="L23" s="13">
        <f>(ROW()-ROW(L$1)+1)*首页!$F$12</f>
        <v>3680</v>
      </c>
      <c r="M23" s="12" t="s">
        <v>639</v>
      </c>
      <c r="N23" s="13">
        <f xml:space="preserve"> ROUNDUP((ROW()-ROW(N$1)+1)*首页!$L$12*首页!$H$12,0)</f>
        <v>403</v>
      </c>
      <c r="O23" s="11">
        <f>首页!$K$12</f>
        <v>8</v>
      </c>
    </row>
    <row r="24" spans="1:15" outlineLevel="1" x14ac:dyDescent="0.3">
      <c r="A24" s="56">
        <v>24</v>
      </c>
      <c r="B24" s="12" t="s">
        <v>1946</v>
      </c>
      <c r="C24" s="11" t="s">
        <v>520</v>
      </c>
      <c r="D24" s="12" t="s">
        <v>544</v>
      </c>
      <c r="E24" s="13">
        <f xml:space="preserve"> (ROW()-ROW(E$1)+1)*首页!$B$12</f>
        <v>2400</v>
      </c>
      <c r="F24" s="12" t="s">
        <v>568</v>
      </c>
      <c r="G24" s="13">
        <f>(ROW()-ROW(G$1)+1)*首页!$C$12</f>
        <v>2400</v>
      </c>
      <c r="H24" s="11">
        <f xml:space="preserve"> E24+G24</f>
        <v>4800</v>
      </c>
      <c r="I24" s="12" t="s">
        <v>592</v>
      </c>
      <c r="J24" s="13">
        <f xml:space="preserve"> ROUNDUP(H24/首页!$E$12,0)</f>
        <v>24</v>
      </c>
      <c r="K24" s="12" t="s">
        <v>616</v>
      </c>
      <c r="L24" s="13">
        <f>(ROW()-ROW(L$1)+1)*首页!$F$12</f>
        <v>3840</v>
      </c>
      <c r="M24" s="12" t="s">
        <v>640</v>
      </c>
      <c r="N24" s="13">
        <f xml:space="preserve"> ROUNDUP((ROW()-ROW(N$1)+1)*首页!$L$12*首页!$H$12,0)</f>
        <v>420</v>
      </c>
      <c r="O24" s="11">
        <f>首页!$K$12</f>
        <v>8</v>
      </c>
    </row>
    <row r="25" spans="1:15" outlineLevel="1" x14ac:dyDescent="0.3">
      <c r="A25" s="56">
        <v>25</v>
      </c>
      <c r="B25" s="23" t="s">
        <v>1946</v>
      </c>
      <c r="C25" s="22" t="s">
        <v>521</v>
      </c>
      <c r="D25" s="23" t="s">
        <v>545</v>
      </c>
      <c r="E25" s="24">
        <f xml:space="preserve"> (ROW()-ROW(E$1)+1)*首页!$B$12</f>
        <v>2500</v>
      </c>
      <c r="F25" s="23" t="s">
        <v>569</v>
      </c>
      <c r="G25" s="24">
        <f>(ROW()-ROW(G$1)+1)*首页!$C$12</f>
        <v>2500</v>
      </c>
      <c r="H25" s="22">
        <f xml:space="preserve"> E25+G25</f>
        <v>5000</v>
      </c>
      <c r="I25" s="23" t="s">
        <v>593</v>
      </c>
      <c r="J25" s="24">
        <f xml:space="preserve"> ROUNDUP(H25/首页!$E$12,0)</f>
        <v>25</v>
      </c>
      <c r="K25" s="23" t="s">
        <v>617</v>
      </c>
      <c r="L25" s="24">
        <f>(ROW()-ROW(L$1)+1)*首页!$F$12</f>
        <v>4000</v>
      </c>
      <c r="M25" s="23" t="s">
        <v>641</v>
      </c>
      <c r="N25" s="24">
        <f xml:space="preserve"> ROUNDUP((ROW()-ROW(N$1)+1)*首页!$L$12*首页!$H$12,0)</f>
        <v>438</v>
      </c>
      <c r="O25" s="22">
        <f>首页!$K$12</f>
        <v>8</v>
      </c>
    </row>
    <row r="27" spans="1:15" outlineLevel="1" x14ac:dyDescent="0.3">
      <c r="A27" s="56" t="s">
        <v>2059</v>
      </c>
      <c r="B27" s="74" t="s">
        <v>1945</v>
      </c>
      <c r="C27" s="81" t="s">
        <v>0</v>
      </c>
      <c r="D27" s="86" t="s">
        <v>208</v>
      </c>
      <c r="E27" s="87" t="s">
        <v>1944</v>
      </c>
      <c r="F27" s="86" t="s">
        <v>209</v>
      </c>
      <c r="G27" s="87" t="s">
        <v>1944</v>
      </c>
      <c r="H27" s="74" t="s">
        <v>1998</v>
      </c>
      <c r="I27" s="86" t="s">
        <v>207</v>
      </c>
      <c r="J27" s="87" t="s">
        <v>1944</v>
      </c>
      <c r="K27" s="86" t="s">
        <v>153</v>
      </c>
      <c r="L27" s="87" t="s">
        <v>1944</v>
      </c>
      <c r="M27" s="86" t="s">
        <v>154</v>
      </c>
      <c r="N27" s="87" t="s">
        <v>1944</v>
      </c>
      <c r="O27" s="81" t="s">
        <v>204</v>
      </c>
    </row>
    <row r="28" spans="1:15" outlineLevel="1" x14ac:dyDescent="0.3">
      <c r="A28" s="56">
        <v>2</v>
      </c>
      <c r="B28" s="74" t="s">
        <v>1947</v>
      </c>
      <c r="C28" s="91" t="s">
        <v>354</v>
      </c>
      <c r="D28" s="86" t="s">
        <v>378</v>
      </c>
      <c r="E28" s="87">
        <f>(ROW()-ROW(E$27)+1)*首页!$B$13</f>
        <v>600</v>
      </c>
      <c r="F28" s="86" t="s">
        <v>402</v>
      </c>
      <c r="G28" s="87">
        <f>(ROW()-ROW(G$27)+1)*首页!$C$13</f>
        <v>600</v>
      </c>
      <c r="H28" s="74">
        <f xml:space="preserve"> E28+G28</f>
        <v>1200</v>
      </c>
      <c r="I28" s="86" t="s">
        <v>426</v>
      </c>
      <c r="J28" s="87">
        <f xml:space="preserve"> ROUNDUP(H28/首页!E13,0)</f>
        <v>6</v>
      </c>
      <c r="K28" s="86" t="s">
        <v>450</v>
      </c>
      <c r="L28" s="87">
        <f>(ROW()-ROW(L$27)+1)*首页!$F$13</f>
        <v>960</v>
      </c>
      <c r="M28" s="86" t="s">
        <v>474</v>
      </c>
      <c r="N28" s="87">
        <f xml:space="preserve"> ROUNDUP((ROW()-ROW(N$27)+1)*首页!$H$13*首页!$L$13,0)</f>
        <v>88</v>
      </c>
      <c r="O28" s="92">
        <f>首页!$K$13</f>
        <v>20</v>
      </c>
    </row>
    <row r="29" spans="1:15" outlineLevel="1" x14ac:dyDescent="0.3">
      <c r="A29" s="56">
        <v>3</v>
      </c>
      <c r="B29" s="75" t="s">
        <v>1947</v>
      </c>
      <c r="C29" s="91" t="s">
        <v>355</v>
      </c>
      <c r="D29" s="91" t="s">
        <v>379</v>
      </c>
      <c r="E29" s="92">
        <f>(ROW()-ROW(E$27)+1)*首页!$B$13</f>
        <v>900</v>
      </c>
      <c r="F29" s="91" t="s">
        <v>403</v>
      </c>
      <c r="G29" s="92">
        <f>(ROW()-ROW(G$27)+1)*首页!$C$13</f>
        <v>900</v>
      </c>
      <c r="H29" s="75">
        <f xml:space="preserve"> E29+G29</f>
        <v>1800</v>
      </c>
      <c r="I29" s="91" t="s">
        <v>427</v>
      </c>
      <c r="J29" s="92">
        <f xml:space="preserve"> ROUNDUP(H29/200,0)</f>
        <v>9</v>
      </c>
      <c r="K29" s="91" t="s">
        <v>451</v>
      </c>
      <c r="L29" s="92">
        <f>(ROW()-ROW(L$27)+1)*首页!$F$13</f>
        <v>1440</v>
      </c>
      <c r="M29" s="91" t="s">
        <v>475</v>
      </c>
      <c r="N29" s="92">
        <f xml:space="preserve"> ROUNDUP((ROW()-ROW(N$27)+1)*首页!$H$13*首页!$L$13,0)</f>
        <v>132</v>
      </c>
      <c r="O29" s="92">
        <f>首页!$K$13</f>
        <v>20</v>
      </c>
    </row>
    <row r="30" spans="1:15" outlineLevel="1" x14ac:dyDescent="0.3">
      <c r="A30" s="56">
        <v>4</v>
      </c>
      <c r="B30" s="75" t="s">
        <v>1947</v>
      </c>
      <c r="C30" s="91" t="s">
        <v>356</v>
      </c>
      <c r="D30" s="91" t="s">
        <v>380</v>
      </c>
      <c r="E30" s="92">
        <f>(ROW()-ROW(E$27)+1)*首页!$B$13</f>
        <v>1200</v>
      </c>
      <c r="F30" s="91" t="s">
        <v>404</v>
      </c>
      <c r="G30" s="92">
        <f>(ROW()-ROW(G$27)+1)*首页!$C$13</f>
        <v>1200</v>
      </c>
      <c r="H30" s="75">
        <f xml:space="preserve"> E30+G30</f>
        <v>2400</v>
      </c>
      <c r="I30" s="91" t="s">
        <v>428</v>
      </c>
      <c r="J30" s="92">
        <f xml:space="preserve"> ROUNDUP(H30/200,0)</f>
        <v>12</v>
      </c>
      <c r="K30" s="91" t="s">
        <v>452</v>
      </c>
      <c r="L30" s="92">
        <f>(ROW()-ROW(L$27)+1)*首页!$F$13</f>
        <v>1920</v>
      </c>
      <c r="M30" s="91" t="s">
        <v>476</v>
      </c>
      <c r="N30" s="92">
        <f xml:space="preserve"> ROUNDUP((ROW()-ROW(N$27)+1)*首页!$H$13*首页!$L$13,0)</f>
        <v>176</v>
      </c>
      <c r="O30" s="92">
        <f>首页!$K$13</f>
        <v>20</v>
      </c>
    </row>
    <row r="31" spans="1:15" outlineLevel="1" x14ac:dyDescent="0.3">
      <c r="A31" s="56">
        <v>5</v>
      </c>
      <c r="B31" s="75" t="s">
        <v>1947</v>
      </c>
      <c r="C31" s="91" t="s">
        <v>357</v>
      </c>
      <c r="D31" s="91" t="s">
        <v>381</v>
      </c>
      <c r="E31" s="92">
        <f>(ROW()-ROW(E$27)+1)*首页!$B$13</f>
        <v>1500</v>
      </c>
      <c r="F31" s="91" t="s">
        <v>405</v>
      </c>
      <c r="G31" s="92">
        <f>(ROW()-ROW(G$27)+1)*首页!$C$13</f>
        <v>1500</v>
      </c>
      <c r="H31" s="75">
        <f xml:space="preserve"> E31+G31</f>
        <v>3000</v>
      </c>
      <c r="I31" s="91" t="s">
        <v>429</v>
      </c>
      <c r="J31" s="92">
        <f xml:space="preserve"> ROUNDUP(H31/200,0)</f>
        <v>15</v>
      </c>
      <c r="K31" s="91" t="s">
        <v>453</v>
      </c>
      <c r="L31" s="92">
        <f>(ROW()-ROW(L$27)+1)*首页!$F$13</f>
        <v>2400</v>
      </c>
      <c r="M31" s="91" t="s">
        <v>477</v>
      </c>
      <c r="N31" s="92">
        <f xml:space="preserve"> ROUNDUP((ROW()-ROW(N$27)+1)*首页!$H$13*首页!$L$13,0)</f>
        <v>220</v>
      </c>
      <c r="O31" s="92">
        <f>首页!$K$13</f>
        <v>20</v>
      </c>
    </row>
    <row r="32" spans="1:15" outlineLevel="1" x14ac:dyDescent="0.3">
      <c r="A32" s="56">
        <v>6</v>
      </c>
      <c r="B32" s="75" t="s">
        <v>1947</v>
      </c>
      <c r="C32" s="91" t="s">
        <v>358</v>
      </c>
      <c r="D32" s="91" t="s">
        <v>382</v>
      </c>
      <c r="E32" s="92">
        <f>(ROW()-ROW(E$27)+1)*首页!$B$13</f>
        <v>1800</v>
      </c>
      <c r="F32" s="91" t="s">
        <v>406</v>
      </c>
      <c r="G32" s="92">
        <f>(ROW()-ROW(G$27)+1)*首页!$C$13</f>
        <v>1800</v>
      </c>
      <c r="H32" s="75">
        <f xml:space="preserve"> E32+G32</f>
        <v>3600</v>
      </c>
      <c r="I32" s="91" t="s">
        <v>430</v>
      </c>
      <c r="J32" s="92">
        <f xml:space="preserve"> ROUNDUP(H32/200,0)</f>
        <v>18</v>
      </c>
      <c r="K32" s="91" t="s">
        <v>454</v>
      </c>
      <c r="L32" s="92">
        <f>(ROW()-ROW(L$27)+1)*首页!$F$13</f>
        <v>2880</v>
      </c>
      <c r="M32" s="91" t="s">
        <v>478</v>
      </c>
      <c r="N32" s="92">
        <f xml:space="preserve"> ROUNDUP((ROW()-ROW(N$27)+1)*首页!$H$13*首页!$L$13,0)</f>
        <v>264</v>
      </c>
      <c r="O32" s="92">
        <f>首页!$K$13</f>
        <v>20</v>
      </c>
    </row>
    <row r="33" spans="1:15" outlineLevel="1" x14ac:dyDescent="0.3">
      <c r="A33" s="56">
        <v>7</v>
      </c>
      <c r="B33" s="75" t="s">
        <v>1947</v>
      </c>
      <c r="C33" s="91" t="s">
        <v>359</v>
      </c>
      <c r="D33" s="91" t="s">
        <v>383</v>
      </c>
      <c r="E33" s="92">
        <f>(ROW()-ROW(E$27)+1)*首页!$B$13</f>
        <v>2100</v>
      </c>
      <c r="F33" s="91" t="s">
        <v>407</v>
      </c>
      <c r="G33" s="92">
        <f>(ROW()-ROW(G$27)+1)*首页!$C$13</f>
        <v>2100</v>
      </c>
      <c r="H33" s="75">
        <f xml:space="preserve"> E33+G33</f>
        <v>4200</v>
      </c>
      <c r="I33" s="91" t="s">
        <v>431</v>
      </c>
      <c r="J33" s="92">
        <f xml:space="preserve"> ROUNDUP(H33/200,0)</f>
        <v>21</v>
      </c>
      <c r="K33" s="91" t="s">
        <v>455</v>
      </c>
      <c r="L33" s="92">
        <f>(ROW()-ROW(L$27)+1)*首页!$F$13</f>
        <v>3360</v>
      </c>
      <c r="M33" s="91" t="s">
        <v>479</v>
      </c>
      <c r="N33" s="92">
        <f xml:space="preserve"> ROUNDUP((ROW()-ROW(N$27)+1)*首页!$H$13*首页!$L$13,0)</f>
        <v>308</v>
      </c>
      <c r="O33" s="92">
        <f>首页!$K$13</f>
        <v>20</v>
      </c>
    </row>
    <row r="34" spans="1:15" outlineLevel="1" x14ac:dyDescent="0.3">
      <c r="A34" s="56">
        <v>8</v>
      </c>
      <c r="B34" s="75" t="s">
        <v>1947</v>
      </c>
      <c r="C34" s="91" t="s">
        <v>360</v>
      </c>
      <c r="D34" s="91" t="s">
        <v>384</v>
      </c>
      <c r="E34" s="92">
        <f>(ROW()-ROW(E$27)+1)*首页!$B$13</f>
        <v>2400</v>
      </c>
      <c r="F34" s="91" t="s">
        <v>408</v>
      </c>
      <c r="G34" s="92">
        <f>(ROW()-ROW(G$27)+1)*首页!$C$13</f>
        <v>2400</v>
      </c>
      <c r="H34" s="75">
        <f xml:space="preserve"> E34+G34</f>
        <v>4800</v>
      </c>
      <c r="I34" s="91" t="s">
        <v>432</v>
      </c>
      <c r="J34" s="92">
        <f xml:space="preserve"> ROUNDUP(H34/200,0)</f>
        <v>24</v>
      </c>
      <c r="K34" s="91" t="s">
        <v>456</v>
      </c>
      <c r="L34" s="92">
        <f>(ROW()-ROW(L$27)+1)*首页!$F$13</f>
        <v>3840</v>
      </c>
      <c r="M34" s="91" t="s">
        <v>480</v>
      </c>
      <c r="N34" s="92">
        <f xml:space="preserve"> ROUNDUP((ROW()-ROW(N$27)+1)*首页!$H$13*首页!$L$13,0)</f>
        <v>352</v>
      </c>
      <c r="O34" s="92">
        <f>首页!$K$13</f>
        <v>20</v>
      </c>
    </row>
    <row r="35" spans="1:15" outlineLevel="1" x14ac:dyDescent="0.3">
      <c r="A35" s="56">
        <v>9</v>
      </c>
      <c r="B35" s="75" t="s">
        <v>1947</v>
      </c>
      <c r="C35" s="91" t="s">
        <v>361</v>
      </c>
      <c r="D35" s="91" t="s">
        <v>385</v>
      </c>
      <c r="E35" s="92">
        <f>(ROW()-ROW(E$27)+1)*首页!$B$13</f>
        <v>2700</v>
      </c>
      <c r="F35" s="91" t="s">
        <v>409</v>
      </c>
      <c r="G35" s="92">
        <f>(ROW()-ROW(G$27)+1)*首页!$C$13</f>
        <v>2700</v>
      </c>
      <c r="H35" s="75">
        <f xml:space="preserve"> E35+G35</f>
        <v>5400</v>
      </c>
      <c r="I35" s="91" t="s">
        <v>433</v>
      </c>
      <c r="J35" s="92">
        <f xml:space="preserve"> ROUNDUP(H35/200,0)</f>
        <v>27</v>
      </c>
      <c r="K35" s="91" t="s">
        <v>457</v>
      </c>
      <c r="L35" s="92">
        <f>(ROW()-ROW(L$27)+1)*首页!$F$13</f>
        <v>4320</v>
      </c>
      <c r="M35" s="91" t="s">
        <v>481</v>
      </c>
      <c r="N35" s="92">
        <f xml:space="preserve"> ROUNDUP((ROW()-ROW(N$27)+1)*首页!$H$13*首页!$L$13,0)</f>
        <v>396</v>
      </c>
      <c r="O35" s="92">
        <f>首页!$K$13</f>
        <v>20</v>
      </c>
    </row>
    <row r="36" spans="1:15" outlineLevel="1" x14ac:dyDescent="0.3">
      <c r="A36" s="56">
        <v>10</v>
      </c>
      <c r="B36" s="75" t="s">
        <v>1947</v>
      </c>
      <c r="C36" s="91" t="s">
        <v>362</v>
      </c>
      <c r="D36" s="91" t="s">
        <v>386</v>
      </c>
      <c r="E36" s="92">
        <f>(ROW()-ROW(E$27)+1)*首页!$B$13</f>
        <v>3000</v>
      </c>
      <c r="F36" s="91" t="s">
        <v>410</v>
      </c>
      <c r="G36" s="92">
        <f>(ROW()-ROW(G$27)+1)*首页!$C$13</f>
        <v>3000</v>
      </c>
      <c r="H36" s="75">
        <f xml:space="preserve"> E36+G36</f>
        <v>6000</v>
      </c>
      <c r="I36" s="91" t="s">
        <v>434</v>
      </c>
      <c r="J36" s="92">
        <f xml:space="preserve"> ROUNDUP(H36/200,0)</f>
        <v>30</v>
      </c>
      <c r="K36" s="91" t="s">
        <v>458</v>
      </c>
      <c r="L36" s="92">
        <f>(ROW()-ROW(L$27)+1)*首页!$F$13</f>
        <v>4800</v>
      </c>
      <c r="M36" s="91" t="s">
        <v>482</v>
      </c>
      <c r="N36" s="92">
        <f xml:space="preserve"> ROUNDUP((ROW()-ROW(N$27)+1)*首页!$H$13*首页!$L$13,0)</f>
        <v>440</v>
      </c>
      <c r="O36" s="92">
        <f>首页!$K$13</f>
        <v>20</v>
      </c>
    </row>
    <row r="37" spans="1:15" outlineLevel="1" x14ac:dyDescent="0.3">
      <c r="A37" s="56">
        <v>11</v>
      </c>
      <c r="B37" s="75" t="s">
        <v>1947</v>
      </c>
      <c r="C37" s="91" t="s">
        <v>363</v>
      </c>
      <c r="D37" s="91" t="s">
        <v>387</v>
      </c>
      <c r="E37" s="92">
        <f>(ROW()-ROW(E$27)+1)*首页!$B$13</f>
        <v>3300</v>
      </c>
      <c r="F37" s="91" t="s">
        <v>411</v>
      </c>
      <c r="G37" s="92">
        <f>(ROW()-ROW(G$27)+1)*首页!$C$13</f>
        <v>3300</v>
      </c>
      <c r="H37" s="75">
        <f xml:space="preserve"> E37+G37</f>
        <v>6600</v>
      </c>
      <c r="I37" s="91" t="s">
        <v>435</v>
      </c>
      <c r="J37" s="92">
        <f xml:space="preserve"> ROUNDUP(H37/200,0)</f>
        <v>33</v>
      </c>
      <c r="K37" s="91" t="s">
        <v>459</v>
      </c>
      <c r="L37" s="92">
        <f>(ROW()-ROW(L$27)+1)*首页!$F$13</f>
        <v>5280</v>
      </c>
      <c r="M37" s="91" t="s">
        <v>483</v>
      </c>
      <c r="N37" s="92">
        <f xml:space="preserve"> ROUNDUP((ROW()-ROW(N$27)+1)*首页!$H$13*首页!$L$13,0)</f>
        <v>484</v>
      </c>
      <c r="O37" s="92">
        <f>首页!$K$13</f>
        <v>20</v>
      </c>
    </row>
    <row r="38" spans="1:15" outlineLevel="1" x14ac:dyDescent="0.3">
      <c r="A38" s="56">
        <v>12</v>
      </c>
      <c r="B38" s="75" t="s">
        <v>1947</v>
      </c>
      <c r="C38" s="91" t="s">
        <v>364</v>
      </c>
      <c r="D38" s="91" t="s">
        <v>388</v>
      </c>
      <c r="E38" s="92">
        <f>(ROW()-ROW(E$27)+1)*首页!$B$13</f>
        <v>3600</v>
      </c>
      <c r="F38" s="91" t="s">
        <v>412</v>
      </c>
      <c r="G38" s="92">
        <f>(ROW()-ROW(G$27)+1)*首页!$C$13</f>
        <v>3600</v>
      </c>
      <c r="H38" s="75">
        <f xml:space="preserve"> E38+G38</f>
        <v>7200</v>
      </c>
      <c r="I38" s="91" t="s">
        <v>436</v>
      </c>
      <c r="J38" s="92">
        <f xml:space="preserve"> ROUNDUP(H38/200,0)</f>
        <v>36</v>
      </c>
      <c r="K38" s="91" t="s">
        <v>460</v>
      </c>
      <c r="L38" s="92">
        <f>(ROW()-ROW(L$27)+1)*首页!$F$13</f>
        <v>5760</v>
      </c>
      <c r="M38" s="91" t="s">
        <v>484</v>
      </c>
      <c r="N38" s="92">
        <f xml:space="preserve"> ROUNDUP((ROW()-ROW(N$27)+1)*首页!$H$13*首页!$L$13,0)</f>
        <v>528</v>
      </c>
      <c r="O38" s="92">
        <f>首页!$K$13</f>
        <v>20</v>
      </c>
    </row>
    <row r="39" spans="1:15" outlineLevel="1" x14ac:dyDescent="0.3">
      <c r="A39" s="56">
        <v>13</v>
      </c>
      <c r="B39" s="75" t="s">
        <v>1947</v>
      </c>
      <c r="C39" s="91" t="s">
        <v>365</v>
      </c>
      <c r="D39" s="91" t="s">
        <v>389</v>
      </c>
      <c r="E39" s="92">
        <f>(ROW()-ROW(E$27)+1)*首页!$B$13</f>
        <v>3900</v>
      </c>
      <c r="F39" s="91" t="s">
        <v>413</v>
      </c>
      <c r="G39" s="92">
        <f>(ROW()-ROW(G$27)+1)*首页!$C$13</f>
        <v>3900</v>
      </c>
      <c r="H39" s="75">
        <f xml:space="preserve"> E39+G39</f>
        <v>7800</v>
      </c>
      <c r="I39" s="91" t="s">
        <v>437</v>
      </c>
      <c r="J39" s="92">
        <f xml:space="preserve"> ROUNDUP(H39/200,0)</f>
        <v>39</v>
      </c>
      <c r="K39" s="91" t="s">
        <v>461</v>
      </c>
      <c r="L39" s="92">
        <f>(ROW()-ROW(L$27)+1)*首页!$F$13</f>
        <v>6240</v>
      </c>
      <c r="M39" s="91" t="s">
        <v>485</v>
      </c>
      <c r="N39" s="92">
        <f xml:space="preserve"> ROUNDUP((ROW()-ROW(N$27)+1)*首页!$H$13*首页!$L$13,0)</f>
        <v>572</v>
      </c>
      <c r="O39" s="92">
        <f>首页!$K$13</f>
        <v>20</v>
      </c>
    </row>
    <row r="40" spans="1:15" outlineLevel="1" x14ac:dyDescent="0.3">
      <c r="A40" s="56">
        <v>14</v>
      </c>
      <c r="B40" s="75" t="s">
        <v>1947</v>
      </c>
      <c r="C40" s="91" t="s">
        <v>366</v>
      </c>
      <c r="D40" s="91" t="s">
        <v>390</v>
      </c>
      <c r="E40" s="92">
        <f>(ROW()-ROW(E$27)+1)*首页!$B$13</f>
        <v>4200</v>
      </c>
      <c r="F40" s="91" t="s">
        <v>414</v>
      </c>
      <c r="G40" s="92">
        <f>(ROW()-ROW(G$27)+1)*首页!$C$13</f>
        <v>4200</v>
      </c>
      <c r="H40" s="75">
        <f xml:space="preserve"> E40+G40</f>
        <v>8400</v>
      </c>
      <c r="I40" s="91" t="s">
        <v>438</v>
      </c>
      <c r="J40" s="92">
        <f xml:space="preserve"> ROUNDUP(H40/200,0)</f>
        <v>42</v>
      </c>
      <c r="K40" s="91" t="s">
        <v>462</v>
      </c>
      <c r="L40" s="92">
        <f>(ROW()-ROW(L$27)+1)*首页!$F$13</f>
        <v>6720</v>
      </c>
      <c r="M40" s="91" t="s">
        <v>486</v>
      </c>
      <c r="N40" s="92">
        <f xml:space="preserve"> ROUNDUP((ROW()-ROW(N$27)+1)*首页!$H$13*首页!$L$13,0)</f>
        <v>616</v>
      </c>
      <c r="O40" s="92">
        <f>首页!$K$13</f>
        <v>20</v>
      </c>
    </row>
    <row r="41" spans="1:15" outlineLevel="1" x14ac:dyDescent="0.3">
      <c r="A41" s="56">
        <v>15</v>
      </c>
      <c r="B41" s="75" t="s">
        <v>1947</v>
      </c>
      <c r="C41" s="91" t="s">
        <v>367</v>
      </c>
      <c r="D41" s="91" t="s">
        <v>391</v>
      </c>
      <c r="E41" s="92">
        <f>(ROW()-ROW(E$27)+1)*首页!$B$13</f>
        <v>4500</v>
      </c>
      <c r="F41" s="91" t="s">
        <v>415</v>
      </c>
      <c r="G41" s="92">
        <f>(ROW()-ROW(G$27)+1)*首页!$C$13</f>
        <v>4500</v>
      </c>
      <c r="H41" s="75">
        <f xml:space="preserve"> E41+G41</f>
        <v>9000</v>
      </c>
      <c r="I41" s="91" t="s">
        <v>439</v>
      </c>
      <c r="J41" s="92">
        <f xml:space="preserve"> ROUNDUP(H41/200,0)</f>
        <v>45</v>
      </c>
      <c r="K41" s="91" t="s">
        <v>463</v>
      </c>
      <c r="L41" s="92">
        <f>(ROW()-ROW(L$27)+1)*首页!$F$13</f>
        <v>7200</v>
      </c>
      <c r="M41" s="91" t="s">
        <v>487</v>
      </c>
      <c r="N41" s="92">
        <f xml:space="preserve"> ROUNDUP((ROW()-ROW(N$27)+1)*首页!$H$13*首页!$L$13,0)</f>
        <v>660</v>
      </c>
      <c r="O41" s="92">
        <f>首页!$K$13</f>
        <v>20</v>
      </c>
    </row>
    <row r="42" spans="1:15" outlineLevel="1" x14ac:dyDescent="0.3">
      <c r="A42" s="56">
        <v>16</v>
      </c>
      <c r="B42" s="75" t="s">
        <v>1947</v>
      </c>
      <c r="C42" s="91" t="s">
        <v>368</v>
      </c>
      <c r="D42" s="91" t="s">
        <v>392</v>
      </c>
      <c r="E42" s="92">
        <f>(ROW()-ROW(E$27)+1)*首页!$B$13</f>
        <v>4800</v>
      </c>
      <c r="F42" s="91" t="s">
        <v>416</v>
      </c>
      <c r="G42" s="92">
        <f>(ROW()-ROW(G$27)+1)*首页!$C$13</f>
        <v>4800</v>
      </c>
      <c r="H42" s="75">
        <f xml:space="preserve"> E42+G42</f>
        <v>9600</v>
      </c>
      <c r="I42" s="91" t="s">
        <v>440</v>
      </c>
      <c r="J42" s="92">
        <f xml:space="preserve"> ROUNDUP(H42/200,0)</f>
        <v>48</v>
      </c>
      <c r="K42" s="91" t="s">
        <v>464</v>
      </c>
      <c r="L42" s="92">
        <f>(ROW()-ROW(L$27)+1)*首页!$F$13</f>
        <v>7680</v>
      </c>
      <c r="M42" s="91" t="s">
        <v>488</v>
      </c>
      <c r="N42" s="92">
        <f xml:space="preserve"> ROUNDUP((ROW()-ROW(N$27)+1)*首页!$H$13*首页!$L$13,0)</f>
        <v>704</v>
      </c>
      <c r="O42" s="92">
        <f>首页!$K$13</f>
        <v>20</v>
      </c>
    </row>
    <row r="43" spans="1:15" outlineLevel="1" x14ac:dyDescent="0.3">
      <c r="A43" s="56">
        <v>17</v>
      </c>
      <c r="B43" s="75" t="s">
        <v>1947</v>
      </c>
      <c r="C43" s="91" t="s">
        <v>369</v>
      </c>
      <c r="D43" s="91" t="s">
        <v>393</v>
      </c>
      <c r="E43" s="92">
        <f>(ROW()-ROW(E$27)+1)*首页!$B$13</f>
        <v>5100</v>
      </c>
      <c r="F43" s="91" t="s">
        <v>417</v>
      </c>
      <c r="G43" s="92">
        <f>(ROW()-ROW(G$27)+1)*首页!$C$13</f>
        <v>5100</v>
      </c>
      <c r="H43" s="75">
        <f xml:space="preserve"> E43+G43</f>
        <v>10200</v>
      </c>
      <c r="I43" s="91" t="s">
        <v>441</v>
      </c>
      <c r="J43" s="92">
        <f xml:space="preserve"> ROUNDUP(H43/200,0)</f>
        <v>51</v>
      </c>
      <c r="K43" s="91" t="s">
        <v>465</v>
      </c>
      <c r="L43" s="92">
        <f>(ROW()-ROW(L$27)+1)*首页!$F$13</f>
        <v>8160</v>
      </c>
      <c r="M43" s="91" t="s">
        <v>489</v>
      </c>
      <c r="N43" s="92">
        <f xml:space="preserve"> ROUNDUP((ROW()-ROW(N$27)+1)*首页!$H$13*首页!$L$13,0)</f>
        <v>748</v>
      </c>
      <c r="O43" s="92">
        <f>首页!$K$13</f>
        <v>20</v>
      </c>
    </row>
    <row r="44" spans="1:15" outlineLevel="1" x14ac:dyDescent="0.3">
      <c r="A44" s="56">
        <v>18</v>
      </c>
      <c r="B44" s="75" t="s">
        <v>1947</v>
      </c>
      <c r="C44" s="91" t="s">
        <v>370</v>
      </c>
      <c r="D44" s="91" t="s">
        <v>394</v>
      </c>
      <c r="E44" s="92">
        <f>(ROW()-ROW(E$27)+1)*首页!$B$13</f>
        <v>5400</v>
      </c>
      <c r="F44" s="91" t="s">
        <v>418</v>
      </c>
      <c r="G44" s="92">
        <f>(ROW()-ROW(G$27)+1)*首页!$C$13</f>
        <v>5400</v>
      </c>
      <c r="H44" s="75">
        <f xml:space="preserve"> E44+G44</f>
        <v>10800</v>
      </c>
      <c r="I44" s="91" t="s">
        <v>442</v>
      </c>
      <c r="J44" s="92">
        <f xml:space="preserve"> ROUNDUP(H44/200,0)</f>
        <v>54</v>
      </c>
      <c r="K44" s="91" t="s">
        <v>466</v>
      </c>
      <c r="L44" s="92">
        <f>(ROW()-ROW(L$27)+1)*首页!$F$13</f>
        <v>8640</v>
      </c>
      <c r="M44" s="91" t="s">
        <v>490</v>
      </c>
      <c r="N44" s="92">
        <f xml:space="preserve"> ROUNDUP((ROW()-ROW(N$27)+1)*首页!$H$13*首页!$L$13,0)</f>
        <v>792</v>
      </c>
      <c r="O44" s="92">
        <f>首页!$K$13</f>
        <v>20</v>
      </c>
    </row>
    <row r="45" spans="1:15" outlineLevel="1" x14ac:dyDescent="0.3">
      <c r="A45" s="56">
        <v>19</v>
      </c>
      <c r="B45" s="75" t="s">
        <v>1947</v>
      </c>
      <c r="C45" s="91" t="s">
        <v>371</v>
      </c>
      <c r="D45" s="91" t="s">
        <v>395</v>
      </c>
      <c r="E45" s="92">
        <f>(ROW()-ROW(E$27)+1)*首页!$B$13</f>
        <v>5700</v>
      </c>
      <c r="F45" s="91" t="s">
        <v>419</v>
      </c>
      <c r="G45" s="92">
        <f>(ROW()-ROW(G$27)+1)*首页!$C$13</f>
        <v>5700</v>
      </c>
      <c r="H45" s="75">
        <f xml:space="preserve"> E45+G45</f>
        <v>11400</v>
      </c>
      <c r="I45" s="91" t="s">
        <v>443</v>
      </c>
      <c r="J45" s="92">
        <f xml:space="preserve"> ROUNDUP(H45/200,0)</f>
        <v>57</v>
      </c>
      <c r="K45" s="91" t="s">
        <v>467</v>
      </c>
      <c r="L45" s="92">
        <f>(ROW()-ROW(L$27)+1)*首页!$F$13</f>
        <v>9120</v>
      </c>
      <c r="M45" s="91" t="s">
        <v>491</v>
      </c>
      <c r="N45" s="92">
        <f xml:space="preserve"> ROUNDUP((ROW()-ROW(N$27)+1)*首页!$H$13*首页!$L$13,0)</f>
        <v>836</v>
      </c>
      <c r="O45" s="92">
        <f>首页!$K$13</f>
        <v>20</v>
      </c>
    </row>
    <row r="46" spans="1:15" outlineLevel="1" x14ac:dyDescent="0.3">
      <c r="A46" s="56">
        <v>20</v>
      </c>
      <c r="B46" s="75" t="s">
        <v>1947</v>
      </c>
      <c r="C46" s="91" t="s">
        <v>372</v>
      </c>
      <c r="D46" s="91" t="s">
        <v>396</v>
      </c>
      <c r="E46" s="92">
        <f>(ROW()-ROW(E$27)+1)*首页!$B$13</f>
        <v>6000</v>
      </c>
      <c r="F46" s="91" t="s">
        <v>420</v>
      </c>
      <c r="G46" s="92">
        <f>(ROW()-ROW(G$27)+1)*首页!$C$13</f>
        <v>6000</v>
      </c>
      <c r="H46" s="75">
        <f xml:space="preserve"> E46+G46</f>
        <v>12000</v>
      </c>
      <c r="I46" s="91" t="s">
        <v>444</v>
      </c>
      <c r="J46" s="92">
        <f xml:space="preserve"> ROUNDUP(H46/200,0)</f>
        <v>60</v>
      </c>
      <c r="K46" s="91" t="s">
        <v>468</v>
      </c>
      <c r="L46" s="92">
        <f>(ROW()-ROW(L$27)+1)*首页!$F$13</f>
        <v>9600</v>
      </c>
      <c r="M46" s="91" t="s">
        <v>492</v>
      </c>
      <c r="N46" s="92">
        <f xml:space="preserve"> ROUNDUP((ROW()-ROW(N$27)+1)*首页!$H$13*首页!$L$13,0)</f>
        <v>880</v>
      </c>
      <c r="O46" s="92">
        <f>首页!$K$13</f>
        <v>20</v>
      </c>
    </row>
    <row r="47" spans="1:15" outlineLevel="1" x14ac:dyDescent="0.3">
      <c r="A47" s="56">
        <v>21</v>
      </c>
      <c r="B47" s="75" t="s">
        <v>1947</v>
      </c>
      <c r="C47" s="91" t="s">
        <v>373</v>
      </c>
      <c r="D47" s="91" t="s">
        <v>397</v>
      </c>
      <c r="E47" s="92">
        <f>(ROW()-ROW(E$27)+1)*首页!$B$13</f>
        <v>6300</v>
      </c>
      <c r="F47" s="91" t="s">
        <v>421</v>
      </c>
      <c r="G47" s="92">
        <f>(ROW()-ROW(G$27)+1)*首页!$C$13</f>
        <v>6300</v>
      </c>
      <c r="H47" s="75">
        <f xml:space="preserve"> E47+G47</f>
        <v>12600</v>
      </c>
      <c r="I47" s="91" t="s">
        <v>445</v>
      </c>
      <c r="J47" s="92">
        <f xml:space="preserve"> ROUNDUP(H47/200,0)</f>
        <v>63</v>
      </c>
      <c r="K47" s="91" t="s">
        <v>469</v>
      </c>
      <c r="L47" s="92">
        <f>(ROW()-ROW(L$27)+1)*首页!$F$13</f>
        <v>10080</v>
      </c>
      <c r="M47" s="91" t="s">
        <v>493</v>
      </c>
      <c r="N47" s="92">
        <f xml:space="preserve"> ROUNDUP((ROW()-ROW(N$27)+1)*首页!$H$13*首页!$L$13,0)</f>
        <v>924</v>
      </c>
      <c r="O47" s="92">
        <f>首页!$K$13</f>
        <v>20</v>
      </c>
    </row>
    <row r="48" spans="1:15" outlineLevel="1" x14ac:dyDescent="0.3">
      <c r="A48" s="56">
        <v>22</v>
      </c>
      <c r="B48" s="75" t="s">
        <v>1947</v>
      </c>
      <c r="C48" s="91" t="s">
        <v>374</v>
      </c>
      <c r="D48" s="91" t="s">
        <v>398</v>
      </c>
      <c r="E48" s="92">
        <f>(ROW()-ROW(E$27)+1)*首页!$B$13</f>
        <v>6600</v>
      </c>
      <c r="F48" s="91" t="s">
        <v>422</v>
      </c>
      <c r="G48" s="92">
        <f>(ROW()-ROW(G$27)+1)*首页!$C$13</f>
        <v>6600</v>
      </c>
      <c r="H48" s="75">
        <f xml:space="preserve"> E48+G48</f>
        <v>13200</v>
      </c>
      <c r="I48" s="91" t="s">
        <v>446</v>
      </c>
      <c r="J48" s="92">
        <f xml:space="preserve"> ROUNDUP(H48/200,0)</f>
        <v>66</v>
      </c>
      <c r="K48" s="91" t="s">
        <v>470</v>
      </c>
      <c r="L48" s="92">
        <f>(ROW()-ROW(L$27)+1)*首页!$F$13</f>
        <v>10560</v>
      </c>
      <c r="M48" s="91" t="s">
        <v>494</v>
      </c>
      <c r="N48" s="92">
        <f xml:space="preserve"> ROUNDUP((ROW()-ROW(N$27)+1)*首页!$H$13*首页!$L$13,0)</f>
        <v>968</v>
      </c>
      <c r="O48" s="92">
        <f>首页!$K$13</f>
        <v>20</v>
      </c>
    </row>
    <row r="49" spans="1:15" outlineLevel="1" x14ac:dyDescent="0.3">
      <c r="A49" s="56">
        <v>23</v>
      </c>
      <c r="B49" s="75" t="s">
        <v>1947</v>
      </c>
      <c r="C49" s="91" t="s">
        <v>375</v>
      </c>
      <c r="D49" s="91" t="s">
        <v>399</v>
      </c>
      <c r="E49" s="92">
        <f>(ROW()-ROW(E$27)+1)*首页!$B$13</f>
        <v>6900</v>
      </c>
      <c r="F49" s="91" t="s">
        <v>423</v>
      </c>
      <c r="G49" s="92">
        <f>(ROW()-ROW(G$27)+1)*首页!$C$13</f>
        <v>6900</v>
      </c>
      <c r="H49" s="75">
        <f xml:space="preserve"> E49+G49</f>
        <v>13800</v>
      </c>
      <c r="I49" s="91" t="s">
        <v>447</v>
      </c>
      <c r="J49" s="92">
        <f xml:space="preserve"> ROUNDUP(H49/200,0)</f>
        <v>69</v>
      </c>
      <c r="K49" s="91" t="s">
        <v>471</v>
      </c>
      <c r="L49" s="92">
        <f>(ROW()-ROW(L$27)+1)*首页!$F$13</f>
        <v>11040</v>
      </c>
      <c r="M49" s="91" t="s">
        <v>495</v>
      </c>
      <c r="N49" s="92">
        <f xml:space="preserve"> ROUNDUP((ROW()-ROW(N$27)+1)*首页!$H$13*首页!$L$13,0)</f>
        <v>1012</v>
      </c>
      <c r="O49" s="92">
        <f>首页!$K$13</f>
        <v>20</v>
      </c>
    </row>
    <row r="50" spans="1:15" outlineLevel="1" x14ac:dyDescent="0.3">
      <c r="A50" s="56">
        <v>24</v>
      </c>
      <c r="B50" s="75" t="s">
        <v>1947</v>
      </c>
      <c r="C50" s="91" t="s">
        <v>376</v>
      </c>
      <c r="D50" s="91" t="s">
        <v>400</v>
      </c>
      <c r="E50" s="92">
        <f>(ROW()-ROW(E$27)+1)*首页!$B$13</f>
        <v>7200</v>
      </c>
      <c r="F50" s="91" t="s">
        <v>424</v>
      </c>
      <c r="G50" s="92">
        <f>(ROW()-ROW(G$27)+1)*首页!$C$13</f>
        <v>7200</v>
      </c>
      <c r="H50" s="75">
        <f xml:space="preserve"> E50+G50</f>
        <v>14400</v>
      </c>
      <c r="I50" s="91" t="s">
        <v>448</v>
      </c>
      <c r="J50" s="92">
        <f xml:space="preserve"> ROUNDUP(H50/200,0)</f>
        <v>72</v>
      </c>
      <c r="K50" s="91" t="s">
        <v>472</v>
      </c>
      <c r="L50" s="92">
        <f>(ROW()-ROW(L$27)+1)*首页!$F$13</f>
        <v>11520</v>
      </c>
      <c r="M50" s="91" t="s">
        <v>496</v>
      </c>
      <c r="N50" s="92">
        <f xml:space="preserve"> ROUNDUP((ROW()-ROW(N$27)+1)*首页!$H$13*首页!$L$13,0)</f>
        <v>1056</v>
      </c>
      <c r="O50" s="92">
        <f>首页!$K$13</f>
        <v>20</v>
      </c>
    </row>
    <row r="51" spans="1:15" outlineLevel="1" x14ac:dyDescent="0.3">
      <c r="A51" s="56">
        <v>25</v>
      </c>
      <c r="B51" s="76" t="s">
        <v>1947</v>
      </c>
      <c r="C51" s="94" t="s">
        <v>377</v>
      </c>
      <c r="D51" s="94" t="s">
        <v>401</v>
      </c>
      <c r="E51" s="95">
        <f>(ROW()-ROW(E$27)+1)*首页!$B$13</f>
        <v>7500</v>
      </c>
      <c r="F51" s="94" t="s">
        <v>425</v>
      </c>
      <c r="G51" s="95">
        <f>(ROW()-ROW(G$27)+1)*首页!$C$13</f>
        <v>7500</v>
      </c>
      <c r="H51" s="76">
        <f xml:space="preserve"> E51+G51</f>
        <v>15000</v>
      </c>
      <c r="I51" s="94" t="s">
        <v>449</v>
      </c>
      <c r="J51" s="95">
        <f xml:space="preserve"> ROUNDUP(H51/200,0)</f>
        <v>75</v>
      </c>
      <c r="K51" s="94" t="s">
        <v>473</v>
      </c>
      <c r="L51" s="95">
        <f>(ROW()-ROW(L$27)+1)*首页!$F$13</f>
        <v>12000</v>
      </c>
      <c r="M51" s="94" t="s">
        <v>497</v>
      </c>
      <c r="N51" s="95">
        <f xml:space="preserve"> ROUNDUP((ROW()-ROW(N$27)+1)*首页!$H$13*首页!$L$13,0)</f>
        <v>1100</v>
      </c>
      <c r="O51" s="95">
        <f>首页!$K$13</f>
        <v>20</v>
      </c>
    </row>
    <row r="53" spans="1:15" outlineLevel="1" x14ac:dyDescent="0.3">
      <c r="A53" s="56" t="s">
        <v>2059</v>
      </c>
      <c r="B53" s="78" t="s">
        <v>1945</v>
      </c>
      <c r="C53" s="78" t="s">
        <v>0</v>
      </c>
      <c r="D53" s="84" t="s">
        <v>208</v>
      </c>
      <c r="E53" s="85" t="s">
        <v>1944</v>
      </c>
      <c r="F53" s="84" t="s">
        <v>208</v>
      </c>
      <c r="G53" s="85" t="s">
        <v>1944</v>
      </c>
      <c r="H53" s="89" t="s">
        <v>210</v>
      </c>
      <c r="I53" s="84" t="s">
        <v>207</v>
      </c>
      <c r="J53" s="85" t="s">
        <v>1944</v>
      </c>
      <c r="K53" s="84" t="s">
        <v>153</v>
      </c>
      <c r="L53" s="85" t="s">
        <v>1944</v>
      </c>
      <c r="M53" s="84" t="s">
        <v>154</v>
      </c>
      <c r="N53" s="85" t="s">
        <v>1944</v>
      </c>
      <c r="O53" s="78" t="s">
        <v>204</v>
      </c>
    </row>
    <row r="54" spans="1:15" outlineLevel="1" x14ac:dyDescent="0.3">
      <c r="A54" s="56">
        <v>2</v>
      </c>
      <c r="B54" s="79" t="s">
        <v>1948</v>
      </c>
      <c r="C54" s="89" t="s">
        <v>211</v>
      </c>
      <c r="D54" s="84" t="s">
        <v>234</v>
      </c>
      <c r="E54" s="85">
        <f>(ROW()-ROW(E$53)+1)*首页!$B$14</f>
        <v>1800</v>
      </c>
      <c r="F54" s="84" t="s">
        <v>258</v>
      </c>
      <c r="G54" s="85">
        <f>(ROW()-ROW(G$53)+1)*首页!$C$14</f>
        <v>1800</v>
      </c>
      <c r="H54" s="89">
        <f>E54+G54</f>
        <v>3600</v>
      </c>
      <c r="I54" s="84" t="s">
        <v>281</v>
      </c>
      <c r="J54" s="85">
        <f xml:space="preserve"> ROUNDUP(H54/首页!$E$14,0)</f>
        <v>18</v>
      </c>
      <c r="K54" s="84" t="s">
        <v>305</v>
      </c>
      <c r="L54" s="85">
        <f>(ROW()-ROW(L$53)+1)*首页!$F$14</f>
        <v>2880</v>
      </c>
      <c r="M54" s="84" t="s">
        <v>329</v>
      </c>
      <c r="N54" s="88">
        <f>(ROW()-ROW(N$53)+1)*首页!$H$14*首页!$L$14</f>
        <v>220</v>
      </c>
      <c r="O54" s="93">
        <f>首页!$K$14</f>
        <v>50</v>
      </c>
    </row>
    <row r="55" spans="1:15" outlineLevel="1" x14ac:dyDescent="0.3">
      <c r="A55" s="56">
        <v>3</v>
      </c>
      <c r="B55" s="79" t="s">
        <v>1948</v>
      </c>
      <c r="C55" s="79" t="s">
        <v>212</v>
      </c>
      <c r="D55" s="90" t="s">
        <v>235</v>
      </c>
      <c r="E55" s="93">
        <f>(ROW()-ROW(E$53)+1)*首页!$B$14</f>
        <v>2700</v>
      </c>
      <c r="F55" s="90" t="s">
        <v>259</v>
      </c>
      <c r="G55" s="93">
        <f>(ROW()-ROW(G$53)+1)*首页!$C$14</f>
        <v>2700</v>
      </c>
      <c r="H55" s="79">
        <f>E55+G55</f>
        <v>5400</v>
      </c>
      <c r="I55" s="90" t="s">
        <v>282</v>
      </c>
      <c r="J55" s="93">
        <f xml:space="preserve"> ROUNDUP(H55/首页!$E$14,0)</f>
        <v>27</v>
      </c>
      <c r="K55" s="90" t="s">
        <v>306</v>
      </c>
      <c r="L55" s="93">
        <f>(ROW()-ROW(L$53)+1)*首页!$F$14</f>
        <v>4320</v>
      </c>
      <c r="M55" s="90" t="s">
        <v>330</v>
      </c>
      <c r="N55" s="117">
        <f>(ROW()-ROW(N$53)+1)*首页!$H$14*首页!$L$14</f>
        <v>330</v>
      </c>
      <c r="O55" s="93">
        <f>首页!$K$14</f>
        <v>50</v>
      </c>
    </row>
    <row r="56" spans="1:15" outlineLevel="1" x14ac:dyDescent="0.3">
      <c r="A56" s="56">
        <v>4</v>
      </c>
      <c r="B56" s="79" t="s">
        <v>1948</v>
      </c>
      <c r="C56" s="79" t="s">
        <v>353</v>
      </c>
      <c r="D56" s="90" t="s">
        <v>236</v>
      </c>
      <c r="E56" s="93">
        <f>(ROW()-ROW(E$53)+1)*首页!$B$14</f>
        <v>3600</v>
      </c>
      <c r="F56" s="90" t="s">
        <v>260</v>
      </c>
      <c r="G56" s="93">
        <f>(ROW()-ROW(G$53)+1)*首页!$C$14</f>
        <v>3600</v>
      </c>
      <c r="H56" s="79">
        <f>E56+G56</f>
        <v>7200</v>
      </c>
      <c r="I56" s="90" t="s">
        <v>283</v>
      </c>
      <c r="J56" s="93">
        <f xml:space="preserve"> ROUNDUP(H56/首页!$E$14,0)</f>
        <v>36</v>
      </c>
      <c r="K56" s="90" t="s">
        <v>307</v>
      </c>
      <c r="L56" s="93">
        <f>(ROW()-ROW(L$53)+1)*首页!$F$14</f>
        <v>5760</v>
      </c>
      <c r="M56" s="90" t="s">
        <v>331</v>
      </c>
      <c r="N56" s="117">
        <f>(ROW()-ROW(N$53)+1)*首页!$H$14*首页!$L$14</f>
        <v>440</v>
      </c>
      <c r="O56" s="93">
        <f>首页!$K$14</f>
        <v>50</v>
      </c>
    </row>
    <row r="57" spans="1:15" outlineLevel="1" x14ac:dyDescent="0.3">
      <c r="A57" s="56">
        <v>5</v>
      </c>
      <c r="B57" s="79" t="s">
        <v>1948</v>
      </c>
      <c r="C57" s="79" t="s">
        <v>213</v>
      </c>
      <c r="D57" s="90" t="s">
        <v>237</v>
      </c>
      <c r="E57" s="93">
        <f>(ROW()-ROW(E$53)+1)*首页!$B$14</f>
        <v>4500</v>
      </c>
      <c r="F57" s="90" t="s">
        <v>261</v>
      </c>
      <c r="G57" s="93">
        <f>(ROW()-ROW(G$53)+1)*首页!$C$14</f>
        <v>4500</v>
      </c>
      <c r="H57" s="79">
        <f>E57+G57</f>
        <v>9000</v>
      </c>
      <c r="I57" s="90" t="s">
        <v>284</v>
      </c>
      <c r="J57" s="93">
        <f xml:space="preserve"> ROUNDUP(H57/首页!$E$14,0)</f>
        <v>45</v>
      </c>
      <c r="K57" s="90" t="s">
        <v>308</v>
      </c>
      <c r="L57" s="93">
        <f>(ROW()-ROW(L$53)+1)*首页!$F$14</f>
        <v>7200</v>
      </c>
      <c r="M57" s="90" t="s">
        <v>332</v>
      </c>
      <c r="N57" s="117">
        <f>(ROW()-ROW(N$53)+1)*首页!$H$14*首页!$L$14</f>
        <v>550</v>
      </c>
      <c r="O57" s="93">
        <f>首页!$K$14</f>
        <v>50</v>
      </c>
    </row>
    <row r="58" spans="1:15" outlineLevel="1" x14ac:dyDescent="0.3">
      <c r="A58" s="56">
        <v>6</v>
      </c>
      <c r="B58" s="79" t="s">
        <v>1948</v>
      </c>
      <c r="C58" s="79" t="s">
        <v>214</v>
      </c>
      <c r="D58" s="90" t="s">
        <v>238</v>
      </c>
      <c r="E58" s="93">
        <f>(ROW()-ROW(E$53)+1)*首页!$B$14</f>
        <v>5400</v>
      </c>
      <c r="F58" s="90" t="s">
        <v>262</v>
      </c>
      <c r="G58" s="93">
        <f>(ROW()-ROW(G$53)+1)*首页!$C$14</f>
        <v>5400</v>
      </c>
      <c r="H58" s="79">
        <f>E58+G58</f>
        <v>10800</v>
      </c>
      <c r="I58" s="90" t="s">
        <v>285</v>
      </c>
      <c r="J58" s="93">
        <f xml:space="preserve"> ROUNDUP(H58/首页!$E$14,0)</f>
        <v>54</v>
      </c>
      <c r="K58" s="90" t="s">
        <v>309</v>
      </c>
      <c r="L58" s="93">
        <f>(ROW()-ROW(L$53)+1)*首页!$F$14</f>
        <v>8640</v>
      </c>
      <c r="M58" s="90" t="s">
        <v>333</v>
      </c>
      <c r="N58" s="117">
        <f>(ROW()-ROW(N$53)+1)*首页!$H$14*首页!$L$14</f>
        <v>660</v>
      </c>
      <c r="O58" s="93">
        <f>首页!$K$14</f>
        <v>50</v>
      </c>
    </row>
    <row r="59" spans="1:15" outlineLevel="1" x14ac:dyDescent="0.3">
      <c r="A59" s="56">
        <v>7</v>
      </c>
      <c r="B59" s="79" t="s">
        <v>1948</v>
      </c>
      <c r="C59" s="79" t="s">
        <v>215</v>
      </c>
      <c r="D59" s="90" t="s">
        <v>239</v>
      </c>
      <c r="E59" s="93">
        <f>(ROW()-ROW(E$53)+1)*首页!$B$14</f>
        <v>6300</v>
      </c>
      <c r="F59" s="90" t="s">
        <v>263</v>
      </c>
      <c r="G59" s="93">
        <f>(ROW()-ROW(G$53)+1)*首页!$C$14</f>
        <v>6300</v>
      </c>
      <c r="H59" s="79">
        <f>E59+G59</f>
        <v>12600</v>
      </c>
      <c r="I59" s="90" t="s">
        <v>286</v>
      </c>
      <c r="J59" s="93">
        <f xml:space="preserve"> ROUNDUP(H59/首页!$E$14,0)</f>
        <v>63</v>
      </c>
      <c r="K59" s="90" t="s">
        <v>310</v>
      </c>
      <c r="L59" s="93">
        <f>(ROW()-ROW(L$53)+1)*首页!$F$14</f>
        <v>10080</v>
      </c>
      <c r="M59" s="90" t="s">
        <v>334</v>
      </c>
      <c r="N59" s="117">
        <f>(ROW()-ROW(N$53)+1)*首页!$H$14*首页!$L$14</f>
        <v>770</v>
      </c>
      <c r="O59" s="93">
        <f>首页!$K$14</f>
        <v>50</v>
      </c>
    </row>
    <row r="60" spans="1:15" outlineLevel="1" x14ac:dyDescent="0.3">
      <c r="A60" s="56">
        <v>8</v>
      </c>
      <c r="B60" s="79" t="s">
        <v>1948</v>
      </c>
      <c r="C60" s="79" t="s">
        <v>216</v>
      </c>
      <c r="D60" s="90" t="s">
        <v>240</v>
      </c>
      <c r="E60" s="93">
        <f>(ROW()-ROW(E$53)+1)*首页!$B$14</f>
        <v>7200</v>
      </c>
      <c r="F60" s="90" t="s">
        <v>264</v>
      </c>
      <c r="G60" s="93">
        <f>(ROW()-ROW(G$53)+1)*首页!$C$14</f>
        <v>7200</v>
      </c>
      <c r="H60" s="79">
        <f>E60+G60</f>
        <v>14400</v>
      </c>
      <c r="I60" s="90" t="s">
        <v>287</v>
      </c>
      <c r="J60" s="93">
        <f xml:space="preserve"> ROUNDUP(H60/首页!$E$14,0)</f>
        <v>72</v>
      </c>
      <c r="K60" s="90" t="s">
        <v>311</v>
      </c>
      <c r="L60" s="93">
        <f>(ROW()-ROW(L$53)+1)*首页!$F$14</f>
        <v>11520</v>
      </c>
      <c r="M60" s="90" t="s">
        <v>335</v>
      </c>
      <c r="N60" s="117">
        <f>(ROW()-ROW(N$53)+1)*首页!$H$14*首页!$L$14</f>
        <v>880</v>
      </c>
      <c r="O60" s="93">
        <f>首页!$K$14</f>
        <v>50</v>
      </c>
    </row>
    <row r="61" spans="1:15" outlineLevel="1" x14ac:dyDescent="0.3">
      <c r="A61" s="56">
        <v>9</v>
      </c>
      <c r="B61" s="79" t="s">
        <v>1948</v>
      </c>
      <c r="C61" s="79" t="s">
        <v>217</v>
      </c>
      <c r="D61" s="90" t="s">
        <v>241</v>
      </c>
      <c r="E61" s="93">
        <f>(ROW()-ROW(E$53)+1)*首页!$B$14</f>
        <v>8100</v>
      </c>
      <c r="F61" s="90" t="s">
        <v>265</v>
      </c>
      <c r="G61" s="93">
        <f>(ROW()-ROW(G$53)+1)*首页!$C$14</f>
        <v>8100</v>
      </c>
      <c r="H61" s="79">
        <f>E61+G61</f>
        <v>16200</v>
      </c>
      <c r="I61" s="90" t="s">
        <v>288</v>
      </c>
      <c r="J61" s="93">
        <f xml:space="preserve"> ROUNDUP(H61/首页!$E$14,0)</f>
        <v>81</v>
      </c>
      <c r="K61" s="90" t="s">
        <v>312</v>
      </c>
      <c r="L61" s="93">
        <f>(ROW()-ROW(L$53)+1)*首页!$F$14</f>
        <v>12960</v>
      </c>
      <c r="M61" s="90" t="s">
        <v>336</v>
      </c>
      <c r="N61" s="117">
        <f>(ROW()-ROW(N$53)+1)*首页!$H$14*首页!$L$14</f>
        <v>990</v>
      </c>
      <c r="O61" s="93">
        <f>首页!$K$14</f>
        <v>50</v>
      </c>
    </row>
    <row r="62" spans="1:15" outlineLevel="1" x14ac:dyDescent="0.3">
      <c r="A62" s="56">
        <v>10</v>
      </c>
      <c r="B62" s="79" t="s">
        <v>1948</v>
      </c>
      <c r="C62" s="79" t="s">
        <v>218</v>
      </c>
      <c r="D62" s="90" t="s">
        <v>242</v>
      </c>
      <c r="E62" s="93">
        <f>(ROW()-ROW(E$53)+1)*首页!$B$14</f>
        <v>9000</v>
      </c>
      <c r="F62" s="90" t="s">
        <v>266</v>
      </c>
      <c r="G62" s="93">
        <f>(ROW()-ROW(G$53)+1)*首页!$C$14</f>
        <v>9000</v>
      </c>
      <c r="H62" s="79">
        <f>E62+G62</f>
        <v>18000</v>
      </c>
      <c r="I62" s="90" t="s">
        <v>289</v>
      </c>
      <c r="J62" s="93">
        <f xml:space="preserve"> ROUNDUP(H62/首页!$E$14,0)</f>
        <v>90</v>
      </c>
      <c r="K62" s="90" t="s">
        <v>313</v>
      </c>
      <c r="L62" s="93">
        <f>(ROW()-ROW(L$53)+1)*首页!$F$14</f>
        <v>14400</v>
      </c>
      <c r="M62" s="90" t="s">
        <v>337</v>
      </c>
      <c r="N62" s="117">
        <f>(ROW()-ROW(N$53)+1)*首页!$H$14*首页!$L$14</f>
        <v>1100</v>
      </c>
      <c r="O62" s="93">
        <f>首页!$K$14</f>
        <v>50</v>
      </c>
    </row>
    <row r="63" spans="1:15" outlineLevel="1" x14ac:dyDescent="0.3">
      <c r="A63" s="56">
        <v>11</v>
      </c>
      <c r="B63" s="79" t="s">
        <v>1948</v>
      </c>
      <c r="C63" s="79" t="s">
        <v>219</v>
      </c>
      <c r="D63" s="90" t="s">
        <v>243</v>
      </c>
      <c r="E63" s="93">
        <f>(ROW()-ROW(E$53)+1)*首页!$B$14</f>
        <v>9900</v>
      </c>
      <c r="F63" s="90" t="s">
        <v>267</v>
      </c>
      <c r="G63" s="93">
        <f>(ROW()-ROW(G$53)+1)*首页!$C$14</f>
        <v>9900</v>
      </c>
      <c r="H63" s="79">
        <f>E63+G63</f>
        <v>19800</v>
      </c>
      <c r="I63" s="90" t="s">
        <v>290</v>
      </c>
      <c r="J63" s="93">
        <f xml:space="preserve"> ROUNDUP(H63/首页!$E$14,0)</f>
        <v>99</v>
      </c>
      <c r="K63" s="90" t="s">
        <v>314</v>
      </c>
      <c r="L63" s="93">
        <f>(ROW()-ROW(L$53)+1)*首页!$F$14</f>
        <v>15840</v>
      </c>
      <c r="M63" s="90" t="s">
        <v>338</v>
      </c>
      <c r="N63" s="117">
        <f>(ROW()-ROW(N$53)+1)*首页!$H$14*首页!$L$14</f>
        <v>1210</v>
      </c>
      <c r="O63" s="93">
        <f>首页!$K$14</f>
        <v>50</v>
      </c>
    </row>
    <row r="64" spans="1:15" outlineLevel="1" x14ac:dyDescent="0.3">
      <c r="A64" s="56">
        <v>12</v>
      </c>
      <c r="B64" s="79" t="s">
        <v>1948</v>
      </c>
      <c r="C64" s="79" t="s">
        <v>220</v>
      </c>
      <c r="D64" s="90" t="s">
        <v>244</v>
      </c>
      <c r="E64" s="93">
        <f>(ROW()-ROW(E$53)+1)*首页!$B$14</f>
        <v>10800</v>
      </c>
      <c r="F64" s="90" t="s">
        <v>268</v>
      </c>
      <c r="G64" s="93">
        <f>(ROW()-ROW(G$53)+1)*首页!$C$14</f>
        <v>10800</v>
      </c>
      <c r="H64" s="79">
        <f>E64+G64</f>
        <v>21600</v>
      </c>
      <c r="I64" s="90" t="s">
        <v>291</v>
      </c>
      <c r="J64" s="93">
        <f xml:space="preserve"> ROUNDUP(H64/首页!$E$14,0)</f>
        <v>108</v>
      </c>
      <c r="K64" s="90" t="s">
        <v>315</v>
      </c>
      <c r="L64" s="93">
        <f>(ROW()-ROW(L$53)+1)*首页!$F$14</f>
        <v>17280</v>
      </c>
      <c r="M64" s="90" t="s">
        <v>339</v>
      </c>
      <c r="N64" s="117">
        <f>(ROW()-ROW(N$53)+1)*首页!$H$14*首页!$L$14</f>
        <v>1320</v>
      </c>
      <c r="O64" s="93">
        <f>首页!$K$14</f>
        <v>50</v>
      </c>
    </row>
    <row r="65" spans="1:15" outlineLevel="1" x14ac:dyDescent="0.3">
      <c r="A65" s="56">
        <v>13</v>
      </c>
      <c r="B65" s="79" t="s">
        <v>1948</v>
      </c>
      <c r="C65" s="79" t="s">
        <v>221</v>
      </c>
      <c r="D65" s="90" t="s">
        <v>245</v>
      </c>
      <c r="E65" s="93">
        <f>(ROW()-ROW(E$53)+1)*首页!$B$14</f>
        <v>11700</v>
      </c>
      <c r="F65" s="90" t="s">
        <v>269</v>
      </c>
      <c r="G65" s="93">
        <f>(ROW()-ROW(G$53)+1)*首页!$C$14</f>
        <v>11700</v>
      </c>
      <c r="H65" s="79">
        <f>E65+G65</f>
        <v>23400</v>
      </c>
      <c r="I65" s="90" t="s">
        <v>292</v>
      </c>
      <c r="J65" s="93">
        <f xml:space="preserve"> ROUNDUP(H65/首页!$E$14,0)</f>
        <v>117</v>
      </c>
      <c r="K65" s="90" t="s">
        <v>316</v>
      </c>
      <c r="L65" s="93">
        <f>(ROW()-ROW(L$53)+1)*首页!$F$14</f>
        <v>18720</v>
      </c>
      <c r="M65" s="90" t="s">
        <v>340</v>
      </c>
      <c r="N65" s="117">
        <f>(ROW()-ROW(N$53)+1)*首页!$H$14*首页!$L$14</f>
        <v>1430</v>
      </c>
      <c r="O65" s="93">
        <f>首页!$K$14</f>
        <v>50</v>
      </c>
    </row>
    <row r="66" spans="1:15" outlineLevel="1" x14ac:dyDescent="0.3">
      <c r="A66" s="56">
        <v>14</v>
      </c>
      <c r="B66" s="79" t="s">
        <v>1948</v>
      </c>
      <c r="C66" s="79" t="s">
        <v>222</v>
      </c>
      <c r="D66" s="90" t="s">
        <v>246</v>
      </c>
      <c r="E66" s="93">
        <f>(ROW()-ROW(E$53)+1)*首页!$B$14</f>
        <v>12600</v>
      </c>
      <c r="F66" s="90" t="s">
        <v>270</v>
      </c>
      <c r="G66" s="93">
        <f>(ROW()-ROW(G$53)+1)*首页!$C$14</f>
        <v>12600</v>
      </c>
      <c r="H66" s="79">
        <f>E66+G66</f>
        <v>25200</v>
      </c>
      <c r="I66" s="90" t="s">
        <v>293</v>
      </c>
      <c r="J66" s="93">
        <f xml:space="preserve"> ROUNDUP(H66/首页!$E$14,0)</f>
        <v>126</v>
      </c>
      <c r="K66" s="90" t="s">
        <v>317</v>
      </c>
      <c r="L66" s="93">
        <f>(ROW()-ROW(L$53)+1)*首页!$F$14</f>
        <v>20160</v>
      </c>
      <c r="M66" s="90" t="s">
        <v>341</v>
      </c>
      <c r="N66" s="117">
        <f>(ROW()-ROW(N$53)+1)*首页!$H$14*首页!$L$14</f>
        <v>1540</v>
      </c>
      <c r="O66" s="93">
        <f>首页!$K$14</f>
        <v>50</v>
      </c>
    </row>
    <row r="67" spans="1:15" outlineLevel="1" x14ac:dyDescent="0.3">
      <c r="A67" s="56">
        <v>15</v>
      </c>
      <c r="B67" s="79" t="s">
        <v>1948</v>
      </c>
      <c r="C67" s="79" t="s">
        <v>223</v>
      </c>
      <c r="D67" s="90" t="s">
        <v>247</v>
      </c>
      <c r="E67" s="93">
        <f>(ROW()-ROW(E$53)+1)*首页!$B$14</f>
        <v>13500</v>
      </c>
      <c r="F67" s="90" t="s">
        <v>271</v>
      </c>
      <c r="G67" s="93">
        <f>(ROW()-ROW(G$53)+1)*首页!$C$14</f>
        <v>13500</v>
      </c>
      <c r="H67" s="79">
        <f>E67+G67</f>
        <v>27000</v>
      </c>
      <c r="I67" s="90" t="s">
        <v>294</v>
      </c>
      <c r="J67" s="93">
        <f xml:space="preserve"> ROUNDUP(H67/首页!$E$14,0)</f>
        <v>135</v>
      </c>
      <c r="K67" s="90" t="s">
        <v>318</v>
      </c>
      <c r="L67" s="93">
        <f>(ROW()-ROW(L$53)+1)*首页!$F$14</f>
        <v>21600</v>
      </c>
      <c r="M67" s="90" t="s">
        <v>342</v>
      </c>
      <c r="N67" s="117">
        <f>(ROW()-ROW(N$53)+1)*首页!$H$14*首页!$L$14</f>
        <v>1650</v>
      </c>
      <c r="O67" s="93">
        <f>首页!$K$14</f>
        <v>50</v>
      </c>
    </row>
    <row r="68" spans="1:15" outlineLevel="1" x14ac:dyDescent="0.3">
      <c r="A68" s="56">
        <v>16</v>
      </c>
      <c r="B68" s="79" t="s">
        <v>1948</v>
      </c>
      <c r="C68" s="79" t="s">
        <v>224</v>
      </c>
      <c r="D68" s="90" t="s">
        <v>248</v>
      </c>
      <c r="E68" s="93">
        <f>(ROW()-ROW(E$53)+1)*首页!$B$14</f>
        <v>14400</v>
      </c>
      <c r="F68" s="90" t="s">
        <v>272</v>
      </c>
      <c r="G68" s="93">
        <f>(ROW()-ROW(G$53)+1)*首页!$C$14</f>
        <v>14400</v>
      </c>
      <c r="H68" s="79">
        <f>E68+G68</f>
        <v>28800</v>
      </c>
      <c r="I68" s="90" t="s">
        <v>295</v>
      </c>
      <c r="J68" s="93">
        <f xml:space="preserve"> ROUNDUP(H68/首页!$E$14,0)</f>
        <v>144</v>
      </c>
      <c r="K68" s="90" t="s">
        <v>319</v>
      </c>
      <c r="L68" s="93">
        <f>(ROW()-ROW(L$53)+1)*首页!$F$14</f>
        <v>23040</v>
      </c>
      <c r="M68" s="90" t="s">
        <v>343</v>
      </c>
      <c r="N68" s="117">
        <f>(ROW()-ROW(N$53)+1)*首页!$H$14*首页!$L$14</f>
        <v>1760</v>
      </c>
      <c r="O68" s="93">
        <f>首页!$K$14</f>
        <v>50</v>
      </c>
    </row>
    <row r="69" spans="1:15" outlineLevel="1" x14ac:dyDescent="0.3">
      <c r="A69" s="56">
        <v>17</v>
      </c>
      <c r="B69" s="79" t="s">
        <v>1948</v>
      </c>
      <c r="C69" s="79" t="s">
        <v>225</v>
      </c>
      <c r="D69" s="90" t="s">
        <v>249</v>
      </c>
      <c r="E69" s="93">
        <f>(ROW()-ROW(E$53)+1)*首页!$B$14</f>
        <v>15300</v>
      </c>
      <c r="F69" s="90" t="s">
        <v>273</v>
      </c>
      <c r="G69" s="93">
        <f>(ROW()-ROW(G$53)+1)*首页!$C$14</f>
        <v>15300</v>
      </c>
      <c r="H69" s="79">
        <f>E69+G69</f>
        <v>30600</v>
      </c>
      <c r="I69" s="90" t="s">
        <v>296</v>
      </c>
      <c r="J69" s="93">
        <f xml:space="preserve"> ROUNDUP(H69/首页!$E$14,0)</f>
        <v>153</v>
      </c>
      <c r="K69" s="90" t="s">
        <v>320</v>
      </c>
      <c r="L69" s="93">
        <f>(ROW()-ROW(L$53)+1)*首页!$F$14</f>
        <v>24480</v>
      </c>
      <c r="M69" s="90" t="s">
        <v>344</v>
      </c>
      <c r="N69" s="117">
        <f>(ROW()-ROW(N$53)+1)*首页!$H$14*首页!$L$14</f>
        <v>1870</v>
      </c>
      <c r="O69" s="93">
        <f>首页!$K$14</f>
        <v>50</v>
      </c>
    </row>
    <row r="70" spans="1:15" outlineLevel="1" x14ac:dyDescent="0.3">
      <c r="A70" s="56">
        <v>18</v>
      </c>
      <c r="B70" s="79" t="s">
        <v>1948</v>
      </c>
      <c r="C70" s="79" t="s">
        <v>226</v>
      </c>
      <c r="D70" s="90" t="s">
        <v>250</v>
      </c>
      <c r="E70" s="93">
        <f>(ROW()-ROW(E$53)+1)*首页!$B$14</f>
        <v>16200</v>
      </c>
      <c r="F70" s="90" t="s">
        <v>274</v>
      </c>
      <c r="G70" s="93">
        <f>(ROW()-ROW(G$53)+1)*首页!$C$14</f>
        <v>16200</v>
      </c>
      <c r="H70" s="79">
        <f>E70+G70</f>
        <v>32400</v>
      </c>
      <c r="I70" s="90" t="s">
        <v>297</v>
      </c>
      <c r="J70" s="93">
        <f xml:space="preserve"> ROUNDUP(H70/首页!$E$14,0)</f>
        <v>162</v>
      </c>
      <c r="K70" s="90" t="s">
        <v>321</v>
      </c>
      <c r="L70" s="93">
        <f>(ROW()-ROW(L$53)+1)*首页!$F$14</f>
        <v>25920</v>
      </c>
      <c r="M70" s="90" t="s">
        <v>345</v>
      </c>
      <c r="N70" s="117">
        <f>(ROW()-ROW(N$53)+1)*首页!$H$14*首页!$L$14</f>
        <v>1980</v>
      </c>
      <c r="O70" s="93">
        <f>首页!$K$14</f>
        <v>50</v>
      </c>
    </row>
    <row r="71" spans="1:15" outlineLevel="1" x14ac:dyDescent="0.3">
      <c r="A71" s="56">
        <v>19</v>
      </c>
      <c r="B71" s="79" t="s">
        <v>1948</v>
      </c>
      <c r="C71" s="79" t="s">
        <v>227</v>
      </c>
      <c r="D71" s="90" t="s">
        <v>251</v>
      </c>
      <c r="E71" s="93">
        <f>(ROW()-ROW(E$53)+1)*首页!$B$14</f>
        <v>17100</v>
      </c>
      <c r="F71" s="90" t="s">
        <v>275</v>
      </c>
      <c r="G71" s="93">
        <f>(ROW()-ROW(G$53)+1)*首页!$C$14</f>
        <v>17100</v>
      </c>
      <c r="H71" s="79">
        <f>E71+G71</f>
        <v>34200</v>
      </c>
      <c r="I71" s="90" t="s">
        <v>298</v>
      </c>
      <c r="J71" s="93">
        <f xml:space="preserve"> ROUNDUP(H71/首页!$E$14,0)</f>
        <v>171</v>
      </c>
      <c r="K71" s="90" t="s">
        <v>322</v>
      </c>
      <c r="L71" s="93">
        <f>(ROW()-ROW(L$53)+1)*首页!$F$14</f>
        <v>27360</v>
      </c>
      <c r="M71" s="90" t="s">
        <v>346</v>
      </c>
      <c r="N71" s="117">
        <f>(ROW()-ROW(N$53)+1)*首页!$H$14*首页!$L$14</f>
        <v>2090</v>
      </c>
      <c r="O71" s="93">
        <f>首页!$K$14</f>
        <v>50</v>
      </c>
    </row>
    <row r="72" spans="1:15" outlineLevel="1" x14ac:dyDescent="0.3">
      <c r="A72" s="56">
        <v>20</v>
      </c>
      <c r="B72" s="79" t="s">
        <v>1948</v>
      </c>
      <c r="C72" s="79" t="s">
        <v>228</v>
      </c>
      <c r="D72" s="90" t="s">
        <v>252</v>
      </c>
      <c r="E72" s="93">
        <f>(ROW()-ROW(E$53)+1)*首页!$B$14</f>
        <v>18000</v>
      </c>
      <c r="F72" s="90" t="s">
        <v>276</v>
      </c>
      <c r="G72" s="93">
        <f>(ROW()-ROW(G$53)+1)*首页!$C$14</f>
        <v>18000</v>
      </c>
      <c r="H72" s="79">
        <f>E72+G72</f>
        <v>36000</v>
      </c>
      <c r="I72" s="90" t="s">
        <v>299</v>
      </c>
      <c r="J72" s="93">
        <f xml:space="preserve"> ROUNDUP(H72/首页!$E$14,0)</f>
        <v>180</v>
      </c>
      <c r="K72" s="90" t="s">
        <v>323</v>
      </c>
      <c r="L72" s="93">
        <f>(ROW()-ROW(L$53)+1)*首页!$F$14</f>
        <v>28800</v>
      </c>
      <c r="M72" s="90" t="s">
        <v>347</v>
      </c>
      <c r="N72" s="117">
        <f>(ROW()-ROW(N$53)+1)*首页!$H$14*首页!$L$14</f>
        <v>2200</v>
      </c>
      <c r="O72" s="93">
        <f>首页!$K$14</f>
        <v>50</v>
      </c>
    </row>
    <row r="73" spans="1:15" outlineLevel="1" x14ac:dyDescent="0.3">
      <c r="A73" s="56">
        <v>21</v>
      </c>
      <c r="B73" s="79" t="s">
        <v>1948</v>
      </c>
      <c r="C73" s="79" t="s">
        <v>229</v>
      </c>
      <c r="D73" s="90" t="s">
        <v>253</v>
      </c>
      <c r="E73" s="93">
        <f>(ROW()-ROW(E$53)+1)*首页!$B$14</f>
        <v>18900</v>
      </c>
      <c r="F73" s="90" t="s">
        <v>277</v>
      </c>
      <c r="G73" s="93">
        <f>(ROW()-ROW(G$53)+1)*首页!$C$14</f>
        <v>18900</v>
      </c>
      <c r="H73" s="79">
        <f>E73+G73</f>
        <v>37800</v>
      </c>
      <c r="I73" s="90" t="s">
        <v>300</v>
      </c>
      <c r="J73" s="93">
        <f xml:space="preserve"> ROUNDUP(H73/首页!$E$14,0)</f>
        <v>189</v>
      </c>
      <c r="K73" s="90" t="s">
        <v>324</v>
      </c>
      <c r="L73" s="93">
        <f>(ROW()-ROW(L$53)+1)*首页!$F$14</f>
        <v>30240</v>
      </c>
      <c r="M73" s="90" t="s">
        <v>348</v>
      </c>
      <c r="N73" s="117">
        <f>(ROW()-ROW(N$53)+1)*首页!$H$14*首页!$L$14</f>
        <v>2310</v>
      </c>
      <c r="O73" s="93">
        <f>首页!$K$14</f>
        <v>50</v>
      </c>
    </row>
    <row r="74" spans="1:15" outlineLevel="1" x14ac:dyDescent="0.3">
      <c r="A74" s="56">
        <v>22</v>
      </c>
      <c r="B74" s="79" t="s">
        <v>1948</v>
      </c>
      <c r="C74" s="79" t="s">
        <v>230</v>
      </c>
      <c r="D74" s="90" t="s">
        <v>254</v>
      </c>
      <c r="E74" s="93">
        <f>(ROW()-ROW(E$53)+1)*首页!$B$14</f>
        <v>19800</v>
      </c>
      <c r="F74" s="90" t="s">
        <v>278</v>
      </c>
      <c r="G74" s="93">
        <f>(ROW()-ROW(G$53)+1)*首页!$C$14</f>
        <v>19800</v>
      </c>
      <c r="H74" s="79">
        <f>E74+G74</f>
        <v>39600</v>
      </c>
      <c r="I74" s="90" t="s">
        <v>301</v>
      </c>
      <c r="J74" s="93">
        <f xml:space="preserve"> ROUNDUP(H74/首页!$E$14,0)</f>
        <v>198</v>
      </c>
      <c r="K74" s="90" t="s">
        <v>325</v>
      </c>
      <c r="L74" s="93">
        <f>(ROW()-ROW(L$53)+1)*首页!$F$14</f>
        <v>31680</v>
      </c>
      <c r="M74" s="90" t="s">
        <v>349</v>
      </c>
      <c r="N74" s="117">
        <f>(ROW()-ROW(N$53)+1)*首页!$H$14*首页!$L$14</f>
        <v>2420</v>
      </c>
      <c r="O74" s="93">
        <f>首页!$K$14</f>
        <v>50</v>
      </c>
    </row>
    <row r="75" spans="1:15" outlineLevel="1" x14ac:dyDescent="0.3">
      <c r="A75" s="56">
        <v>23</v>
      </c>
      <c r="B75" s="79" t="s">
        <v>1948</v>
      </c>
      <c r="C75" s="79" t="s">
        <v>231</v>
      </c>
      <c r="D75" s="90" t="s">
        <v>255</v>
      </c>
      <c r="E75" s="93">
        <f>(ROW()-ROW(E$53)+1)*首页!$B$14</f>
        <v>20700</v>
      </c>
      <c r="F75" s="90" t="s">
        <v>279</v>
      </c>
      <c r="G75" s="93">
        <f>(ROW()-ROW(G$53)+1)*首页!$C$14</f>
        <v>20700</v>
      </c>
      <c r="H75" s="79">
        <f>E75+G75</f>
        <v>41400</v>
      </c>
      <c r="I75" s="90" t="s">
        <v>302</v>
      </c>
      <c r="J75" s="93">
        <f xml:space="preserve"> ROUNDUP(H75/首页!$E$14,0)</f>
        <v>207</v>
      </c>
      <c r="K75" s="90" t="s">
        <v>326</v>
      </c>
      <c r="L75" s="93">
        <f>(ROW()-ROW(L$53)+1)*首页!$F$14</f>
        <v>33120</v>
      </c>
      <c r="M75" s="90" t="s">
        <v>350</v>
      </c>
      <c r="N75" s="117">
        <f>(ROW()-ROW(N$53)+1)*首页!$H$14*首页!$L$14</f>
        <v>2530</v>
      </c>
      <c r="O75" s="93">
        <f>首页!$K$14</f>
        <v>50</v>
      </c>
    </row>
    <row r="76" spans="1:15" outlineLevel="1" x14ac:dyDescent="0.3">
      <c r="A76" s="56">
        <v>24</v>
      </c>
      <c r="B76" s="79" t="s">
        <v>1948</v>
      </c>
      <c r="C76" s="79" t="s">
        <v>232</v>
      </c>
      <c r="D76" s="90" t="s">
        <v>256</v>
      </c>
      <c r="E76" s="93">
        <f>(ROW()-ROW(E$53)+1)*首页!$B$14</f>
        <v>21600</v>
      </c>
      <c r="F76" s="90" t="s">
        <v>280</v>
      </c>
      <c r="G76" s="93">
        <f>(ROW()-ROW(G$53)+1)*首页!$C$14</f>
        <v>21600</v>
      </c>
      <c r="H76" s="79">
        <f>E76+G76</f>
        <v>43200</v>
      </c>
      <c r="I76" s="90" t="s">
        <v>303</v>
      </c>
      <c r="J76" s="93">
        <f xml:space="preserve"> ROUNDUP(H76/首页!$E$14,0)</f>
        <v>216</v>
      </c>
      <c r="K76" s="90" t="s">
        <v>327</v>
      </c>
      <c r="L76" s="93">
        <f>(ROW()-ROW(L$53)+1)*首页!$F$14</f>
        <v>34560</v>
      </c>
      <c r="M76" s="90" t="s">
        <v>351</v>
      </c>
      <c r="N76" s="117">
        <f>(ROW()-ROW(N$53)+1)*首页!$H$14*首页!$L$14</f>
        <v>2640</v>
      </c>
      <c r="O76" s="93">
        <f>首页!$K$14</f>
        <v>50</v>
      </c>
    </row>
    <row r="77" spans="1:15" outlineLevel="1" x14ac:dyDescent="0.3">
      <c r="A77" s="56">
        <v>25</v>
      </c>
      <c r="B77" s="80" t="s">
        <v>1948</v>
      </c>
      <c r="C77" s="80" t="s">
        <v>233</v>
      </c>
      <c r="D77" s="96" t="s">
        <v>257</v>
      </c>
      <c r="E77" s="97">
        <f>(ROW()-ROW(E$53)+1)*首页!$B$14</f>
        <v>22500</v>
      </c>
      <c r="F77" s="96" t="s">
        <v>666</v>
      </c>
      <c r="G77" s="97">
        <f>(ROW()-ROW(G$53)+1)*首页!$C$14</f>
        <v>22500</v>
      </c>
      <c r="H77" s="80">
        <f>E77+G77</f>
        <v>45000</v>
      </c>
      <c r="I77" s="96" t="s">
        <v>304</v>
      </c>
      <c r="J77" s="97">
        <f xml:space="preserve"> ROUNDUP(H77/首页!$E$14,0)</f>
        <v>225</v>
      </c>
      <c r="K77" s="96" t="s">
        <v>328</v>
      </c>
      <c r="L77" s="97">
        <f>(ROW()-ROW(L$53)+1)*首页!$F$14</f>
        <v>36000</v>
      </c>
      <c r="M77" s="96" t="s">
        <v>352</v>
      </c>
      <c r="N77" s="77">
        <f>(ROW()-ROW(N$53)+1)*首页!$H$14*首页!$L$14</f>
        <v>2750</v>
      </c>
      <c r="O77" s="97">
        <f>首页!$K$14</f>
        <v>50</v>
      </c>
    </row>
    <row r="123" spans="9:10" x14ac:dyDescent="0.3">
      <c r="I123" s="179" t="s">
        <v>2195</v>
      </c>
      <c r="J123" s="180"/>
    </row>
    <row r="124" spans="9:10" x14ac:dyDescent="0.3">
      <c r="I124" s="119" t="s">
        <v>1948</v>
      </c>
      <c r="J124" s="118">
        <f>首页!G14</f>
        <v>3240</v>
      </c>
    </row>
    <row r="125" spans="9:10" x14ac:dyDescent="0.3">
      <c r="I125" s="119" t="s">
        <v>1947</v>
      </c>
      <c r="J125" s="118">
        <f>首页!G13</f>
        <v>1080</v>
      </c>
    </row>
    <row r="126" spans="9:10" x14ac:dyDescent="0.3">
      <c r="I126" s="119" t="s">
        <v>2070</v>
      </c>
      <c r="J126" s="118">
        <f>首页!B12</f>
        <v>100</v>
      </c>
    </row>
    <row r="127" spans="9:10" x14ac:dyDescent="0.3">
      <c r="I127" s="119" t="s">
        <v>2071</v>
      </c>
      <c r="J127" s="118">
        <f>首页!C12</f>
        <v>100</v>
      </c>
    </row>
    <row r="128" spans="9:10" x14ac:dyDescent="0.3">
      <c r="I128" s="119" t="s">
        <v>2072</v>
      </c>
      <c r="J128" s="118">
        <f>首页!F12</f>
        <v>160</v>
      </c>
    </row>
  </sheetData>
  <sheetProtection sheet="1" objects="1" scenarios="1"/>
  <mergeCells count="1">
    <mergeCell ref="I123:J12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2E7F-C25C-4BBC-B201-AB2E599F81F5}">
  <dimension ref="A1:P121"/>
  <sheetViews>
    <sheetView topLeftCell="A11" zoomScale="85" zoomScaleNormal="85" workbookViewId="0">
      <selection activeCell="F11" sqref="F1:G1048576"/>
    </sheetView>
  </sheetViews>
  <sheetFormatPr defaultRowHeight="14" outlineLevelRow="2" outlineLevelCol="1" x14ac:dyDescent="0.3"/>
  <cols>
    <col min="1" max="1" width="5.9140625" customWidth="1"/>
    <col min="3" max="3" width="28.83203125" customWidth="1"/>
    <col min="4" max="4" width="20.4140625" customWidth="1" outlineLevel="1"/>
    <col min="5" max="5" width="6.9140625" customWidth="1" outlineLevel="1"/>
    <col min="6" max="6" width="23.58203125" customWidth="1" outlineLevel="1"/>
    <col min="7" max="7" width="6.08203125" customWidth="1" outlineLevel="1"/>
    <col min="8" max="8" width="7.75" customWidth="1"/>
    <col min="9" max="9" width="24.83203125" customWidth="1"/>
    <col min="10" max="10" width="4.08203125" customWidth="1"/>
    <col min="11" max="11" width="20.5" customWidth="1" outlineLevel="1"/>
    <col min="12" max="12" width="6.75" customWidth="1" outlineLevel="1"/>
    <col min="13" max="13" width="26.33203125" customWidth="1" outlineLevel="1"/>
    <col min="14" max="14" width="5.58203125" customWidth="1" outlineLevel="1"/>
    <col min="15" max="15" width="18.25" customWidth="1"/>
    <col min="16" max="16" width="4.58203125" customWidth="1"/>
    <col min="18" max="19" width="10.83203125" customWidth="1"/>
    <col min="20" max="20" width="13.1640625" customWidth="1"/>
    <col min="21" max="21" width="20.75" customWidth="1"/>
    <col min="22" max="22" width="8.5" customWidth="1"/>
    <col min="23" max="23" width="25.9140625" customWidth="1"/>
    <col min="24" max="24" width="5.33203125" customWidth="1"/>
    <col min="25" max="25" width="21.25" customWidth="1"/>
    <col min="26" max="26" width="6" customWidth="1"/>
    <col min="27" max="27" width="25.83203125" customWidth="1"/>
    <col min="28" max="28" width="6.6640625" customWidth="1"/>
    <col min="29" max="29" width="19.33203125" customWidth="1"/>
    <col min="30" max="30" width="5.1640625" customWidth="1"/>
    <col min="32" max="32" width="29.5" customWidth="1"/>
    <col min="33" max="33" width="20.1640625" customWidth="1"/>
    <col min="34" max="34" width="7.08203125" customWidth="1"/>
    <col min="35" max="35" width="24.5" customWidth="1"/>
    <col min="36" max="36" width="6.83203125" customWidth="1"/>
    <col min="37" max="37" width="7.9140625" customWidth="1"/>
    <col min="38" max="38" width="24" customWidth="1"/>
    <col min="39" max="39" width="5" customWidth="1"/>
    <col min="40" max="40" width="19.9140625" customWidth="1"/>
    <col min="41" max="41" width="6" customWidth="1"/>
    <col min="42" max="42" width="24.6640625" customWidth="1"/>
    <col min="43" max="43" width="7.4140625" customWidth="1"/>
    <col min="44" max="44" width="18.4140625" customWidth="1"/>
    <col min="45" max="45" width="7.4140625" customWidth="1"/>
  </cols>
  <sheetData>
    <row r="1" spans="1:16" outlineLevel="1" x14ac:dyDescent="0.3">
      <c r="A1" s="56" t="s">
        <v>2059</v>
      </c>
      <c r="B1" s="57" t="s">
        <v>1945</v>
      </c>
      <c r="C1" s="57" t="s">
        <v>0</v>
      </c>
      <c r="D1" s="5" t="s">
        <v>208</v>
      </c>
      <c r="E1" s="6" t="s">
        <v>1944</v>
      </c>
      <c r="F1" s="30" t="s">
        <v>209</v>
      </c>
      <c r="G1" s="31" t="s">
        <v>1944</v>
      </c>
      <c r="H1" s="57" t="s">
        <v>210</v>
      </c>
      <c r="I1" s="30" t="s">
        <v>207</v>
      </c>
      <c r="J1" s="31" t="s">
        <v>1944</v>
      </c>
      <c r="K1" s="5" t="s">
        <v>153</v>
      </c>
      <c r="L1" s="6" t="s">
        <v>1944</v>
      </c>
      <c r="M1" s="5" t="s">
        <v>871</v>
      </c>
      <c r="N1" s="6" t="s">
        <v>1944</v>
      </c>
      <c r="O1" s="5" t="s">
        <v>895</v>
      </c>
      <c r="P1" s="6" t="s">
        <v>1944</v>
      </c>
    </row>
    <row r="2" spans="1:16" outlineLevel="1" x14ac:dyDescent="0.3">
      <c r="A2" s="56">
        <v>2</v>
      </c>
      <c r="B2" s="11" t="s">
        <v>1946</v>
      </c>
      <c r="C2" s="5" t="s">
        <v>1064</v>
      </c>
      <c r="D2" s="5" t="s">
        <v>896</v>
      </c>
      <c r="E2" s="6">
        <f>(ROW()-ROW(E$1)+1)*首页!$B$17</f>
        <v>160</v>
      </c>
      <c r="F2" s="5" t="s">
        <v>968</v>
      </c>
      <c r="G2" s="6">
        <f>(ROW()-ROW(G$1)+1)*首页!$C$17</f>
        <v>160</v>
      </c>
      <c r="H2" s="6">
        <f>E2+G2</f>
        <v>320</v>
      </c>
      <c r="I2" s="5" t="s">
        <v>992</v>
      </c>
      <c r="J2" s="61">
        <f>H2/首页!$E$17</f>
        <v>2</v>
      </c>
      <c r="K2" s="5" t="s">
        <v>1221</v>
      </c>
      <c r="L2" s="61">
        <f>(ROW()-ROW(L$1)+1)*首页!$F$17</f>
        <v>256</v>
      </c>
      <c r="M2" s="5" t="s">
        <v>1245</v>
      </c>
      <c r="N2" s="61">
        <f>ROUND(L2/首页!$J$17,2)</f>
        <v>0.32</v>
      </c>
      <c r="O2" s="5" t="s">
        <v>1269</v>
      </c>
      <c r="P2" s="6">
        <f>(ROW()-ROW(P$1)+1)*首页!$K$17</f>
        <v>26</v>
      </c>
    </row>
    <row r="3" spans="1:16" outlineLevel="1" x14ac:dyDescent="0.3">
      <c r="A3" s="56">
        <v>3</v>
      </c>
      <c r="B3" s="11" t="s">
        <v>1946</v>
      </c>
      <c r="C3" s="12" t="s">
        <v>872</v>
      </c>
      <c r="D3" s="12" t="s">
        <v>897</v>
      </c>
      <c r="E3" s="13">
        <f>(ROW()-ROW(E$1)+1)*首页!$B$17</f>
        <v>240</v>
      </c>
      <c r="F3" s="12" t="s">
        <v>973</v>
      </c>
      <c r="G3" s="13">
        <f>(ROW()-ROW(G$1)+1)*首页!$C$17</f>
        <v>240</v>
      </c>
      <c r="H3" s="13">
        <f t="shared" ref="H3:H25" si="0">E3+G3</f>
        <v>480</v>
      </c>
      <c r="I3" s="12" t="s">
        <v>993</v>
      </c>
      <c r="J3" s="4">
        <f>H3/首页!$E$17</f>
        <v>3</v>
      </c>
      <c r="K3" s="12" t="s">
        <v>1222</v>
      </c>
      <c r="L3" s="4">
        <f>(ROW()-ROW(L$1)+1)*首页!$F$17</f>
        <v>384</v>
      </c>
      <c r="M3" s="12" t="s">
        <v>1246</v>
      </c>
      <c r="N3" s="4">
        <f>ROUND(L3/首页!$J$17,2)</f>
        <v>0.48</v>
      </c>
      <c r="O3" s="12" t="s">
        <v>1270</v>
      </c>
      <c r="P3" s="13">
        <f>(ROW()-ROW(P$1)+1)*首页!$K$17</f>
        <v>39</v>
      </c>
    </row>
    <row r="4" spans="1:16" outlineLevel="1" x14ac:dyDescent="0.3">
      <c r="A4" s="56">
        <v>4</v>
      </c>
      <c r="B4" s="11" t="s">
        <v>1946</v>
      </c>
      <c r="C4" s="12" t="s">
        <v>873</v>
      </c>
      <c r="D4" s="12" t="s">
        <v>902</v>
      </c>
      <c r="E4" s="13">
        <f>(ROW()-ROW(E$1)+1)*首页!$B$17</f>
        <v>320</v>
      </c>
      <c r="F4" s="12" t="s">
        <v>969</v>
      </c>
      <c r="G4" s="13">
        <f>(ROW()-ROW(G$1)+1)*首页!$C$17</f>
        <v>320</v>
      </c>
      <c r="H4" s="13">
        <f t="shared" si="0"/>
        <v>640</v>
      </c>
      <c r="I4" s="12" t="s">
        <v>994</v>
      </c>
      <c r="J4" s="4">
        <f>H4/首页!$E$17</f>
        <v>4</v>
      </c>
      <c r="K4" s="12" t="s">
        <v>1223</v>
      </c>
      <c r="L4" s="4">
        <f>(ROW()-ROW(L$1)+1)*首页!$F$17</f>
        <v>512</v>
      </c>
      <c r="M4" s="12" t="s">
        <v>1247</v>
      </c>
      <c r="N4" s="4">
        <f>ROUND(L4/首页!$J$17,2)</f>
        <v>0.64</v>
      </c>
      <c r="O4" s="12" t="s">
        <v>1271</v>
      </c>
      <c r="P4" s="13">
        <f>(ROW()-ROW(P$1)+1)*首页!$K$17</f>
        <v>52</v>
      </c>
    </row>
    <row r="5" spans="1:16" outlineLevel="1" x14ac:dyDescent="0.3">
      <c r="A5" s="56">
        <v>5</v>
      </c>
      <c r="B5" s="11" t="s">
        <v>1946</v>
      </c>
      <c r="C5" s="12" t="s">
        <v>874</v>
      </c>
      <c r="D5" s="12" t="s">
        <v>898</v>
      </c>
      <c r="E5" s="13">
        <f>(ROW()-ROW(E$1)+1)*首页!$B$17</f>
        <v>400</v>
      </c>
      <c r="F5" s="12" t="s">
        <v>970</v>
      </c>
      <c r="G5" s="13">
        <f>(ROW()-ROW(G$1)+1)*首页!$C$17</f>
        <v>400</v>
      </c>
      <c r="H5" s="13">
        <f t="shared" si="0"/>
        <v>800</v>
      </c>
      <c r="I5" s="12" t="s">
        <v>995</v>
      </c>
      <c r="J5" s="4">
        <f>H5/首页!$E$17</f>
        <v>5</v>
      </c>
      <c r="K5" s="12" t="s">
        <v>1224</v>
      </c>
      <c r="L5" s="4">
        <f>(ROW()-ROW(L$1)+1)*首页!$F$17</f>
        <v>640</v>
      </c>
      <c r="M5" s="12" t="s">
        <v>1248</v>
      </c>
      <c r="N5" s="4">
        <f>ROUND(L5/首页!$J$17,2)</f>
        <v>0.8</v>
      </c>
      <c r="O5" s="12" t="s">
        <v>1272</v>
      </c>
      <c r="P5" s="13">
        <f>(ROW()-ROW(P$1)+1)*首页!$K$17</f>
        <v>65</v>
      </c>
    </row>
    <row r="6" spans="1:16" outlineLevel="1" x14ac:dyDescent="0.3">
      <c r="A6" s="56">
        <v>6</v>
      </c>
      <c r="B6" s="11" t="s">
        <v>1946</v>
      </c>
      <c r="C6" s="12" t="s">
        <v>875</v>
      </c>
      <c r="D6" s="12" t="s">
        <v>899</v>
      </c>
      <c r="E6" s="13">
        <f>(ROW()-ROW(E$1)+1)*首页!$B$17</f>
        <v>480</v>
      </c>
      <c r="F6" s="12" t="s">
        <v>974</v>
      </c>
      <c r="G6" s="13">
        <f>(ROW()-ROW(G$1)+1)*首页!$C$17</f>
        <v>480</v>
      </c>
      <c r="H6" s="13">
        <f t="shared" si="0"/>
        <v>960</v>
      </c>
      <c r="I6" s="12" t="s">
        <v>996</v>
      </c>
      <c r="J6" s="4">
        <f>H6/首页!$E$17</f>
        <v>6</v>
      </c>
      <c r="K6" s="12" t="s">
        <v>1225</v>
      </c>
      <c r="L6" s="4">
        <f>(ROW()-ROW(L$1)+1)*首页!$F$17</f>
        <v>768</v>
      </c>
      <c r="M6" s="12" t="s">
        <v>1249</v>
      </c>
      <c r="N6" s="4">
        <f>ROUND(L6/首页!$J$17,2)</f>
        <v>0.96</v>
      </c>
      <c r="O6" s="12" t="s">
        <v>1273</v>
      </c>
      <c r="P6" s="13">
        <f>(ROW()-ROW(P$1)+1)*首页!$K$17</f>
        <v>78</v>
      </c>
    </row>
    <row r="7" spans="1:16" outlineLevel="1" x14ac:dyDescent="0.3">
      <c r="A7" s="56">
        <v>7</v>
      </c>
      <c r="B7" s="11" t="s">
        <v>1946</v>
      </c>
      <c r="C7" s="12" t="s">
        <v>876</v>
      </c>
      <c r="D7" s="12" t="s">
        <v>900</v>
      </c>
      <c r="E7" s="13">
        <f>(ROW()-ROW(E$1)+1)*首页!$B$17</f>
        <v>560</v>
      </c>
      <c r="F7" s="12" t="s">
        <v>971</v>
      </c>
      <c r="G7" s="13">
        <f>(ROW()-ROW(G$1)+1)*首页!$C$17</f>
        <v>560</v>
      </c>
      <c r="H7" s="13">
        <f t="shared" si="0"/>
        <v>1120</v>
      </c>
      <c r="I7" s="12" t="s">
        <v>997</v>
      </c>
      <c r="J7" s="4">
        <f>H7/首页!$E$17</f>
        <v>7</v>
      </c>
      <c r="K7" s="12" t="s">
        <v>1226</v>
      </c>
      <c r="L7" s="4">
        <f>(ROW()-ROW(L$1)+1)*首页!$F$17</f>
        <v>896</v>
      </c>
      <c r="M7" s="12" t="s">
        <v>1250</v>
      </c>
      <c r="N7" s="4">
        <f>ROUND(L7/首页!$J$17,2)</f>
        <v>1.1200000000000001</v>
      </c>
      <c r="O7" s="12" t="s">
        <v>1274</v>
      </c>
      <c r="P7" s="13">
        <f>(ROW()-ROW(P$1)+1)*首页!$K$17</f>
        <v>91</v>
      </c>
    </row>
    <row r="8" spans="1:16" outlineLevel="1" x14ac:dyDescent="0.3">
      <c r="A8" s="56">
        <v>8</v>
      </c>
      <c r="B8" s="11" t="s">
        <v>1946</v>
      </c>
      <c r="C8" s="12" t="s">
        <v>877</v>
      </c>
      <c r="D8" s="12" t="s">
        <v>901</v>
      </c>
      <c r="E8" s="13">
        <f>(ROW()-ROW(E$1)+1)*首页!$B$17</f>
        <v>640</v>
      </c>
      <c r="F8" s="12" t="s">
        <v>972</v>
      </c>
      <c r="G8" s="13">
        <f>(ROW()-ROW(G$1)+1)*首页!$C$17</f>
        <v>640</v>
      </c>
      <c r="H8" s="13">
        <f t="shared" si="0"/>
        <v>1280</v>
      </c>
      <c r="I8" s="12" t="s">
        <v>998</v>
      </c>
      <c r="J8" s="4">
        <f>H8/首页!$E$17</f>
        <v>8</v>
      </c>
      <c r="K8" s="12" t="s">
        <v>1227</v>
      </c>
      <c r="L8" s="4">
        <f>(ROW()-ROW(L$1)+1)*首页!$F$17</f>
        <v>1024</v>
      </c>
      <c r="M8" s="12" t="s">
        <v>1251</v>
      </c>
      <c r="N8" s="4">
        <f>ROUND(L8/首页!$J$17,2)</f>
        <v>1.28</v>
      </c>
      <c r="O8" s="12" t="s">
        <v>1275</v>
      </c>
      <c r="P8" s="13">
        <f>(ROW()-ROW(P$1)+1)*首页!$K$17</f>
        <v>104</v>
      </c>
    </row>
    <row r="9" spans="1:16" outlineLevel="1" x14ac:dyDescent="0.3">
      <c r="A9" s="56">
        <v>9</v>
      </c>
      <c r="B9" s="11" t="s">
        <v>1946</v>
      </c>
      <c r="C9" s="12" t="s">
        <v>878</v>
      </c>
      <c r="D9" s="12" t="s">
        <v>903</v>
      </c>
      <c r="E9" s="13">
        <f>(ROW()-ROW(E$1)+1)*首页!$B$17</f>
        <v>720</v>
      </c>
      <c r="F9" s="12" t="s">
        <v>975</v>
      </c>
      <c r="G9" s="13">
        <f>(ROW()-ROW(G$1)+1)*首页!$C$17</f>
        <v>720</v>
      </c>
      <c r="H9" s="13">
        <f t="shared" si="0"/>
        <v>1440</v>
      </c>
      <c r="I9" s="12" t="s">
        <v>999</v>
      </c>
      <c r="J9" s="4">
        <f>H9/首页!$E$17</f>
        <v>9</v>
      </c>
      <c r="K9" s="12" t="s">
        <v>1228</v>
      </c>
      <c r="L9" s="4">
        <f>(ROW()-ROW(L$1)+1)*首页!$F$17</f>
        <v>1152</v>
      </c>
      <c r="M9" s="12" t="s">
        <v>1252</v>
      </c>
      <c r="N9" s="4">
        <f>ROUND(L9/首页!$J$17,2)</f>
        <v>1.44</v>
      </c>
      <c r="O9" s="12" t="s">
        <v>1276</v>
      </c>
      <c r="P9" s="13">
        <f>(ROW()-ROW(P$1)+1)*首页!$K$17</f>
        <v>117</v>
      </c>
    </row>
    <row r="10" spans="1:16" outlineLevel="1" x14ac:dyDescent="0.3">
      <c r="A10" s="56">
        <v>10</v>
      </c>
      <c r="B10" s="11" t="s">
        <v>1946</v>
      </c>
      <c r="C10" s="12" t="s">
        <v>879</v>
      </c>
      <c r="D10" s="12" t="s">
        <v>904</v>
      </c>
      <c r="E10" s="13">
        <f>(ROW()-ROW(E$1)+1)*首页!$B$17</f>
        <v>800</v>
      </c>
      <c r="F10" s="12" t="s">
        <v>976</v>
      </c>
      <c r="G10" s="13">
        <f>(ROW()-ROW(G$1)+1)*首页!$C$17</f>
        <v>800</v>
      </c>
      <c r="H10" s="13">
        <f t="shared" si="0"/>
        <v>1600</v>
      </c>
      <c r="I10" s="12" t="s">
        <v>1000</v>
      </c>
      <c r="J10" s="4">
        <f>H10/首页!$E$17</f>
        <v>10</v>
      </c>
      <c r="K10" s="12" t="s">
        <v>1229</v>
      </c>
      <c r="L10" s="4">
        <f>(ROW()-ROW(L$1)+1)*首页!$F$17</f>
        <v>1280</v>
      </c>
      <c r="M10" s="12" t="s">
        <v>1253</v>
      </c>
      <c r="N10" s="4">
        <f>ROUND(L10/首页!$J$17,2)</f>
        <v>1.6</v>
      </c>
      <c r="O10" s="12" t="s">
        <v>1277</v>
      </c>
      <c r="P10" s="13">
        <f>(ROW()-ROW(P$1)+1)*首页!$K$17</f>
        <v>130</v>
      </c>
    </row>
    <row r="11" spans="1:16" outlineLevel="1" x14ac:dyDescent="0.3">
      <c r="A11" s="56">
        <v>11</v>
      </c>
      <c r="B11" s="11" t="s">
        <v>1946</v>
      </c>
      <c r="C11" s="12" t="s">
        <v>880</v>
      </c>
      <c r="D11" s="12" t="s">
        <v>905</v>
      </c>
      <c r="E11" s="13">
        <f>(ROW()-ROW(E$1)+1)*首页!$B$17</f>
        <v>880</v>
      </c>
      <c r="F11" s="12" t="s">
        <v>977</v>
      </c>
      <c r="G11" s="13">
        <f>(ROW()-ROW(G$1)+1)*首页!$C$17</f>
        <v>880</v>
      </c>
      <c r="H11" s="13">
        <f t="shared" si="0"/>
        <v>1760</v>
      </c>
      <c r="I11" s="12" t="s">
        <v>1001</v>
      </c>
      <c r="J11" s="4">
        <f>H11/首页!$E$17</f>
        <v>11</v>
      </c>
      <c r="K11" s="12" t="s">
        <v>1230</v>
      </c>
      <c r="L11" s="4">
        <f>(ROW()-ROW(L$1)+1)*首页!$F$17</f>
        <v>1408</v>
      </c>
      <c r="M11" s="12" t="s">
        <v>1254</v>
      </c>
      <c r="N11" s="4">
        <f>ROUND(L11/首页!$J$17,2)</f>
        <v>1.76</v>
      </c>
      <c r="O11" s="12" t="s">
        <v>1278</v>
      </c>
      <c r="P11" s="13">
        <f>(ROW()-ROW(P$1)+1)*首页!$K$17</f>
        <v>143</v>
      </c>
    </row>
    <row r="12" spans="1:16" outlineLevel="1" x14ac:dyDescent="0.3">
      <c r="A12" s="56">
        <v>12</v>
      </c>
      <c r="B12" s="11" t="s">
        <v>1946</v>
      </c>
      <c r="C12" s="12" t="s">
        <v>881</v>
      </c>
      <c r="D12" s="12" t="s">
        <v>906</v>
      </c>
      <c r="E12" s="13">
        <f>(ROW()-ROW(E$1)+1)*首页!$B$17</f>
        <v>960</v>
      </c>
      <c r="F12" s="12" t="s">
        <v>978</v>
      </c>
      <c r="G12" s="13">
        <f>(ROW()-ROW(G$1)+1)*首页!$C$17</f>
        <v>960</v>
      </c>
      <c r="H12" s="13">
        <f t="shared" si="0"/>
        <v>1920</v>
      </c>
      <c r="I12" s="12" t="s">
        <v>1002</v>
      </c>
      <c r="J12" s="4">
        <f>H12/首页!$E$17</f>
        <v>12</v>
      </c>
      <c r="K12" s="12" t="s">
        <v>1231</v>
      </c>
      <c r="L12" s="4">
        <f>(ROW()-ROW(L$1)+1)*首页!$F$17</f>
        <v>1536</v>
      </c>
      <c r="M12" s="12" t="s">
        <v>1255</v>
      </c>
      <c r="N12" s="4">
        <f>ROUND(L12/首页!$J$17,2)</f>
        <v>1.92</v>
      </c>
      <c r="O12" s="12" t="s">
        <v>1279</v>
      </c>
      <c r="P12" s="13">
        <f>(ROW()-ROW(P$1)+1)*首页!$K$17</f>
        <v>156</v>
      </c>
    </row>
    <row r="13" spans="1:16" outlineLevel="1" x14ac:dyDescent="0.3">
      <c r="A13" s="56">
        <v>13</v>
      </c>
      <c r="B13" s="11" t="s">
        <v>1946</v>
      </c>
      <c r="C13" s="12" t="s">
        <v>882</v>
      </c>
      <c r="D13" s="12" t="s">
        <v>907</v>
      </c>
      <c r="E13" s="13">
        <f>(ROW()-ROW(E$1)+1)*首页!$B$17</f>
        <v>1040</v>
      </c>
      <c r="F13" s="12" t="s">
        <v>979</v>
      </c>
      <c r="G13" s="13">
        <f>(ROW()-ROW(G$1)+1)*首页!$C$17</f>
        <v>1040</v>
      </c>
      <c r="H13" s="13">
        <f t="shared" si="0"/>
        <v>2080</v>
      </c>
      <c r="I13" s="12" t="s">
        <v>1003</v>
      </c>
      <c r="J13" s="4">
        <f>H13/首页!$E$17</f>
        <v>13</v>
      </c>
      <c r="K13" s="12" t="s">
        <v>1232</v>
      </c>
      <c r="L13" s="4">
        <f>(ROW()-ROW(L$1)+1)*首页!$F$17</f>
        <v>1664</v>
      </c>
      <c r="M13" s="12" t="s">
        <v>1256</v>
      </c>
      <c r="N13" s="4">
        <f>ROUND(L13/首页!$J$17,2)</f>
        <v>2.08</v>
      </c>
      <c r="O13" s="12" t="s">
        <v>1280</v>
      </c>
      <c r="P13" s="13">
        <f>(ROW()-ROW(P$1)+1)*首页!$K$17</f>
        <v>169</v>
      </c>
    </row>
    <row r="14" spans="1:16" outlineLevel="1" x14ac:dyDescent="0.3">
      <c r="A14" s="56">
        <v>14</v>
      </c>
      <c r="B14" s="11" t="s">
        <v>1946</v>
      </c>
      <c r="C14" s="12" t="s">
        <v>883</v>
      </c>
      <c r="D14" s="12" t="s">
        <v>908</v>
      </c>
      <c r="E14" s="13">
        <f>(ROW()-ROW(E$1)+1)*首页!$B$17</f>
        <v>1120</v>
      </c>
      <c r="F14" s="12" t="s">
        <v>980</v>
      </c>
      <c r="G14" s="13">
        <f>(ROW()-ROW(G$1)+1)*首页!$C$17</f>
        <v>1120</v>
      </c>
      <c r="H14" s="13">
        <f t="shared" si="0"/>
        <v>2240</v>
      </c>
      <c r="I14" s="12" t="s">
        <v>1004</v>
      </c>
      <c r="J14" s="4">
        <f>H14/首页!$E$17</f>
        <v>14</v>
      </c>
      <c r="K14" s="12" t="s">
        <v>1233</v>
      </c>
      <c r="L14" s="4">
        <f>(ROW()-ROW(L$1)+1)*首页!$F$17</f>
        <v>1792</v>
      </c>
      <c r="M14" s="12" t="s">
        <v>1257</v>
      </c>
      <c r="N14" s="4">
        <f>ROUND(L14/首页!$J$17,2)</f>
        <v>2.2400000000000002</v>
      </c>
      <c r="O14" s="12" t="s">
        <v>1281</v>
      </c>
      <c r="P14" s="13">
        <f>(ROW()-ROW(P$1)+1)*首页!$K$17</f>
        <v>182</v>
      </c>
    </row>
    <row r="15" spans="1:16" outlineLevel="1" x14ac:dyDescent="0.3">
      <c r="A15" s="56">
        <v>15</v>
      </c>
      <c r="B15" s="11" t="s">
        <v>1946</v>
      </c>
      <c r="C15" s="12" t="s">
        <v>884</v>
      </c>
      <c r="D15" s="12" t="s">
        <v>909</v>
      </c>
      <c r="E15" s="13">
        <f>(ROW()-ROW(E$1)+1)*首页!$B$17</f>
        <v>1200</v>
      </c>
      <c r="F15" s="12" t="s">
        <v>981</v>
      </c>
      <c r="G15" s="13">
        <f>(ROW()-ROW(G$1)+1)*首页!$C$17</f>
        <v>1200</v>
      </c>
      <c r="H15" s="13">
        <f t="shared" si="0"/>
        <v>2400</v>
      </c>
      <c r="I15" s="12" t="s">
        <v>1005</v>
      </c>
      <c r="J15" s="4">
        <f>H15/首页!$E$17</f>
        <v>15</v>
      </c>
      <c r="K15" s="12" t="s">
        <v>1234</v>
      </c>
      <c r="L15" s="4">
        <f>(ROW()-ROW(L$1)+1)*首页!$F$17</f>
        <v>1920</v>
      </c>
      <c r="M15" s="12" t="s">
        <v>1258</v>
      </c>
      <c r="N15" s="4">
        <f>ROUND(L15/首页!$J$17,2)</f>
        <v>2.4</v>
      </c>
      <c r="O15" s="12" t="s">
        <v>1282</v>
      </c>
      <c r="P15" s="13">
        <f>(ROW()-ROW(P$1)+1)*首页!$K$17</f>
        <v>195</v>
      </c>
    </row>
    <row r="16" spans="1:16" outlineLevel="1" x14ac:dyDescent="0.3">
      <c r="A16" s="56">
        <v>16</v>
      </c>
      <c r="B16" s="11" t="s">
        <v>1946</v>
      </c>
      <c r="C16" s="12" t="s">
        <v>885</v>
      </c>
      <c r="D16" s="12" t="s">
        <v>910</v>
      </c>
      <c r="E16" s="13">
        <f>(ROW()-ROW(E$1)+1)*首页!$B$17</f>
        <v>1280</v>
      </c>
      <c r="F16" s="12" t="s">
        <v>982</v>
      </c>
      <c r="G16" s="13">
        <f>(ROW()-ROW(G$1)+1)*首页!$C$17</f>
        <v>1280</v>
      </c>
      <c r="H16" s="13">
        <f t="shared" si="0"/>
        <v>2560</v>
      </c>
      <c r="I16" s="12" t="s">
        <v>1006</v>
      </c>
      <c r="J16" s="4">
        <f>H16/首页!$E$17</f>
        <v>16</v>
      </c>
      <c r="K16" s="12" t="s">
        <v>1235</v>
      </c>
      <c r="L16" s="4">
        <f>(ROW()-ROW(L$1)+1)*首页!$F$17</f>
        <v>2048</v>
      </c>
      <c r="M16" s="12" t="s">
        <v>1259</v>
      </c>
      <c r="N16" s="4">
        <f>ROUND(L16/首页!$J$17,2)</f>
        <v>2.56</v>
      </c>
      <c r="O16" s="12" t="s">
        <v>1283</v>
      </c>
      <c r="P16" s="13">
        <f>(ROW()-ROW(P$1)+1)*首页!$K$17</f>
        <v>208</v>
      </c>
    </row>
    <row r="17" spans="1:16" outlineLevel="1" x14ac:dyDescent="0.3">
      <c r="A17" s="56">
        <v>17</v>
      </c>
      <c r="B17" s="11" t="s">
        <v>1946</v>
      </c>
      <c r="C17" s="12" t="s">
        <v>886</v>
      </c>
      <c r="D17" s="12" t="s">
        <v>911</v>
      </c>
      <c r="E17" s="13">
        <f>(ROW()-ROW(E$1)+1)*首页!$B$17</f>
        <v>1360</v>
      </c>
      <c r="F17" s="12" t="s">
        <v>983</v>
      </c>
      <c r="G17" s="13">
        <f>(ROW()-ROW(G$1)+1)*首页!$C$17</f>
        <v>1360</v>
      </c>
      <c r="H17" s="13">
        <f t="shared" si="0"/>
        <v>2720</v>
      </c>
      <c r="I17" s="12" t="s">
        <v>1007</v>
      </c>
      <c r="J17" s="4">
        <f>H17/首页!$E$17</f>
        <v>17</v>
      </c>
      <c r="K17" s="12" t="s">
        <v>1236</v>
      </c>
      <c r="L17" s="4">
        <f>(ROW()-ROW(L$1)+1)*首页!$F$17</f>
        <v>2176</v>
      </c>
      <c r="M17" s="12" t="s">
        <v>1260</v>
      </c>
      <c r="N17" s="4">
        <f>ROUND(L17/首页!$J$17,2)</f>
        <v>2.72</v>
      </c>
      <c r="O17" s="12" t="s">
        <v>1284</v>
      </c>
      <c r="P17" s="13">
        <f>(ROW()-ROW(P$1)+1)*首页!$K$17</f>
        <v>221</v>
      </c>
    </row>
    <row r="18" spans="1:16" outlineLevel="1" x14ac:dyDescent="0.3">
      <c r="A18" s="56">
        <v>18</v>
      </c>
      <c r="B18" s="11" t="s">
        <v>1946</v>
      </c>
      <c r="C18" s="12" t="s">
        <v>887</v>
      </c>
      <c r="D18" s="12" t="s">
        <v>912</v>
      </c>
      <c r="E18" s="13">
        <f>(ROW()-ROW(E$1)+1)*首页!$B$17</f>
        <v>1440</v>
      </c>
      <c r="F18" s="12" t="s">
        <v>984</v>
      </c>
      <c r="G18" s="13">
        <f>(ROW()-ROW(G$1)+1)*首页!$C$17</f>
        <v>1440</v>
      </c>
      <c r="H18" s="13">
        <f t="shared" si="0"/>
        <v>2880</v>
      </c>
      <c r="I18" s="12" t="s">
        <v>1008</v>
      </c>
      <c r="J18" s="4">
        <f>H18/首页!$E$17</f>
        <v>18</v>
      </c>
      <c r="K18" s="12" t="s">
        <v>1237</v>
      </c>
      <c r="L18" s="4">
        <f>(ROW()-ROW(L$1)+1)*首页!$F$17</f>
        <v>2304</v>
      </c>
      <c r="M18" s="12" t="s">
        <v>1261</v>
      </c>
      <c r="N18" s="4">
        <f>ROUND(L18/首页!$J$17,2)</f>
        <v>2.88</v>
      </c>
      <c r="O18" s="12" t="s">
        <v>1285</v>
      </c>
      <c r="P18" s="13">
        <f>(ROW()-ROW(P$1)+1)*首页!$K$17</f>
        <v>234</v>
      </c>
    </row>
    <row r="19" spans="1:16" outlineLevel="1" x14ac:dyDescent="0.3">
      <c r="A19" s="56">
        <v>19</v>
      </c>
      <c r="B19" s="11" t="s">
        <v>1946</v>
      </c>
      <c r="C19" s="12" t="s">
        <v>888</v>
      </c>
      <c r="D19" s="12" t="s">
        <v>913</v>
      </c>
      <c r="E19" s="13">
        <f>(ROW()-ROW(E$1)+1)*首页!$B$17</f>
        <v>1520</v>
      </c>
      <c r="F19" s="12" t="s">
        <v>985</v>
      </c>
      <c r="G19" s="13">
        <f>(ROW()-ROW(G$1)+1)*首页!$C$17</f>
        <v>1520</v>
      </c>
      <c r="H19" s="13">
        <f t="shared" si="0"/>
        <v>3040</v>
      </c>
      <c r="I19" s="12" t="s">
        <v>1009</v>
      </c>
      <c r="J19" s="4">
        <f>H19/首页!$E$17</f>
        <v>19</v>
      </c>
      <c r="K19" s="12" t="s">
        <v>1238</v>
      </c>
      <c r="L19" s="4">
        <f>(ROW()-ROW(L$1)+1)*首页!$F$17</f>
        <v>2432</v>
      </c>
      <c r="M19" s="12" t="s">
        <v>1262</v>
      </c>
      <c r="N19" s="4">
        <f>ROUND(L19/首页!$J$17,2)</f>
        <v>3.04</v>
      </c>
      <c r="O19" s="12" t="s">
        <v>1286</v>
      </c>
      <c r="P19" s="13">
        <f>(ROW()-ROW(P$1)+1)*首页!$K$17</f>
        <v>247</v>
      </c>
    </row>
    <row r="20" spans="1:16" outlineLevel="1" x14ac:dyDescent="0.3">
      <c r="A20" s="56">
        <v>20</v>
      </c>
      <c r="B20" s="11" t="s">
        <v>1946</v>
      </c>
      <c r="C20" s="12" t="s">
        <v>889</v>
      </c>
      <c r="D20" s="12" t="s">
        <v>914</v>
      </c>
      <c r="E20" s="13">
        <f>(ROW()-ROW(E$1)+1)*首页!$B$17</f>
        <v>1600</v>
      </c>
      <c r="F20" s="12" t="s">
        <v>986</v>
      </c>
      <c r="G20" s="13">
        <f>(ROW()-ROW(G$1)+1)*首页!$C$17</f>
        <v>1600</v>
      </c>
      <c r="H20" s="13">
        <f t="shared" si="0"/>
        <v>3200</v>
      </c>
      <c r="I20" s="12" t="s">
        <v>1010</v>
      </c>
      <c r="J20" s="4">
        <f>H20/首页!$E$17</f>
        <v>20</v>
      </c>
      <c r="K20" s="12" t="s">
        <v>1239</v>
      </c>
      <c r="L20" s="4">
        <f>(ROW()-ROW(L$1)+1)*首页!$F$17</f>
        <v>2560</v>
      </c>
      <c r="M20" s="12" t="s">
        <v>1263</v>
      </c>
      <c r="N20" s="4">
        <f>ROUND(L20/首页!$J$17,2)</f>
        <v>3.2</v>
      </c>
      <c r="O20" s="12" t="s">
        <v>1287</v>
      </c>
      <c r="P20" s="13">
        <f>(ROW()-ROW(P$1)+1)*首页!$K$17</f>
        <v>260</v>
      </c>
    </row>
    <row r="21" spans="1:16" outlineLevel="1" x14ac:dyDescent="0.3">
      <c r="A21" s="56">
        <v>21</v>
      </c>
      <c r="B21" s="11" t="s">
        <v>1946</v>
      </c>
      <c r="C21" s="12" t="s">
        <v>890</v>
      </c>
      <c r="D21" s="12" t="s">
        <v>915</v>
      </c>
      <c r="E21" s="13">
        <f>(ROW()-ROW(E$1)+1)*首页!$B$17</f>
        <v>1680</v>
      </c>
      <c r="F21" s="12" t="s">
        <v>987</v>
      </c>
      <c r="G21" s="13">
        <f>(ROW()-ROW(G$1)+1)*首页!$C$17</f>
        <v>1680</v>
      </c>
      <c r="H21" s="13">
        <f t="shared" si="0"/>
        <v>3360</v>
      </c>
      <c r="I21" s="12" t="s">
        <v>1011</v>
      </c>
      <c r="J21" s="4">
        <f>H21/首页!$E$17</f>
        <v>21</v>
      </c>
      <c r="K21" s="12" t="s">
        <v>1240</v>
      </c>
      <c r="L21" s="4">
        <f>(ROW()-ROW(L$1)+1)*首页!$F$17</f>
        <v>2688</v>
      </c>
      <c r="M21" s="12" t="s">
        <v>1264</v>
      </c>
      <c r="N21" s="4">
        <f>ROUND(L21/首页!$J$17,2)</f>
        <v>3.36</v>
      </c>
      <c r="O21" s="12" t="s">
        <v>1288</v>
      </c>
      <c r="P21" s="13">
        <f>(ROW()-ROW(P$1)+1)*首页!$K$17</f>
        <v>273</v>
      </c>
    </row>
    <row r="22" spans="1:16" outlineLevel="1" x14ac:dyDescent="0.3">
      <c r="A22" s="56">
        <v>22</v>
      </c>
      <c r="B22" s="11" t="s">
        <v>1946</v>
      </c>
      <c r="C22" s="12" t="s">
        <v>891</v>
      </c>
      <c r="D22" s="12" t="s">
        <v>916</v>
      </c>
      <c r="E22" s="13">
        <f>(ROW()-ROW(E$1)+1)*首页!$B$17</f>
        <v>1760</v>
      </c>
      <c r="F22" s="12" t="s">
        <v>988</v>
      </c>
      <c r="G22" s="13">
        <f>(ROW()-ROW(G$1)+1)*首页!$C$17</f>
        <v>1760</v>
      </c>
      <c r="H22" s="13">
        <f t="shared" si="0"/>
        <v>3520</v>
      </c>
      <c r="I22" s="12" t="s">
        <v>1012</v>
      </c>
      <c r="J22" s="4">
        <f>H22/首页!$E$17</f>
        <v>22</v>
      </c>
      <c r="K22" s="12" t="s">
        <v>1241</v>
      </c>
      <c r="L22" s="4">
        <f>(ROW()-ROW(L$1)+1)*首页!$F$17</f>
        <v>2816</v>
      </c>
      <c r="M22" s="12" t="s">
        <v>1265</v>
      </c>
      <c r="N22" s="4">
        <f>ROUND(L22/首页!$J$17,2)</f>
        <v>3.52</v>
      </c>
      <c r="O22" s="12" t="s">
        <v>1289</v>
      </c>
      <c r="P22" s="13">
        <f>(ROW()-ROW(P$1)+1)*首页!$K$17</f>
        <v>286</v>
      </c>
    </row>
    <row r="23" spans="1:16" outlineLevel="1" x14ac:dyDescent="0.3">
      <c r="A23" s="56">
        <v>23</v>
      </c>
      <c r="B23" s="11" t="s">
        <v>1946</v>
      </c>
      <c r="C23" s="12" t="s">
        <v>892</v>
      </c>
      <c r="D23" s="12" t="s">
        <v>917</v>
      </c>
      <c r="E23" s="13">
        <f>(ROW()-ROW(E$1)+1)*首页!$B$17</f>
        <v>1840</v>
      </c>
      <c r="F23" s="12" t="s">
        <v>989</v>
      </c>
      <c r="G23" s="13">
        <f>(ROW()-ROW(G$1)+1)*首页!$C$17</f>
        <v>1840</v>
      </c>
      <c r="H23" s="13">
        <f t="shared" si="0"/>
        <v>3680</v>
      </c>
      <c r="I23" s="12" t="s">
        <v>1013</v>
      </c>
      <c r="J23" s="4">
        <f>H23/首页!$E$17</f>
        <v>23</v>
      </c>
      <c r="K23" s="12" t="s">
        <v>1242</v>
      </c>
      <c r="L23" s="4">
        <f>(ROW()-ROW(L$1)+1)*首页!$F$17</f>
        <v>2944</v>
      </c>
      <c r="M23" s="12" t="s">
        <v>1266</v>
      </c>
      <c r="N23" s="4">
        <f>ROUND(L23/首页!$J$17,2)</f>
        <v>3.68</v>
      </c>
      <c r="O23" s="12" t="s">
        <v>1290</v>
      </c>
      <c r="P23" s="13">
        <f>(ROW()-ROW(P$1)+1)*首页!$K$17</f>
        <v>299</v>
      </c>
    </row>
    <row r="24" spans="1:16" outlineLevel="1" x14ac:dyDescent="0.3">
      <c r="A24" s="56">
        <v>24</v>
      </c>
      <c r="B24" s="11" t="s">
        <v>1946</v>
      </c>
      <c r="C24" s="12" t="s">
        <v>893</v>
      </c>
      <c r="D24" s="12" t="s">
        <v>918</v>
      </c>
      <c r="E24" s="13">
        <f>(ROW()-ROW(E$1)+1)*首页!$B$17</f>
        <v>1920</v>
      </c>
      <c r="F24" s="12" t="s">
        <v>990</v>
      </c>
      <c r="G24" s="13">
        <f>(ROW()-ROW(G$1)+1)*首页!$C$17</f>
        <v>1920</v>
      </c>
      <c r="H24" s="13">
        <f t="shared" si="0"/>
        <v>3840</v>
      </c>
      <c r="I24" s="12" t="s">
        <v>1014</v>
      </c>
      <c r="J24" s="4">
        <f>H24/首页!$E$17</f>
        <v>24</v>
      </c>
      <c r="K24" s="12" t="s">
        <v>1243</v>
      </c>
      <c r="L24" s="4">
        <f>(ROW()-ROW(L$1)+1)*首页!$F$17</f>
        <v>3072</v>
      </c>
      <c r="M24" s="12" t="s">
        <v>1267</v>
      </c>
      <c r="N24" s="4">
        <f>ROUND(L24/首页!$J$17,2)</f>
        <v>3.84</v>
      </c>
      <c r="O24" s="12" t="s">
        <v>1291</v>
      </c>
      <c r="P24" s="13">
        <f>(ROW()-ROW(P$1)+1)*首页!$K$17</f>
        <v>312</v>
      </c>
    </row>
    <row r="25" spans="1:16" outlineLevel="1" x14ac:dyDescent="0.3">
      <c r="A25" s="56">
        <v>25</v>
      </c>
      <c r="B25" s="22" t="s">
        <v>1946</v>
      </c>
      <c r="C25" s="23" t="s">
        <v>894</v>
      </c>
      <c r="D25" s="23" t="s">
        <v>919</v>
      </c>
      <c r="E25" s="24">
        <f>(ROW()-ROW(E$1)+1)*首页!$B$17</f>
        <v>2000</v>
      </c>
      <c r="F25" s="23" t="s">
        <v>991</v>
      </c>
      <c r="G25" s="24">
        <f>(ROW()-ROW(G$1)+1)*首页!$C$17</f>
        <v>2000</v>
      </c>
      <c r="H25" s="24">
        <f t="shared" si="0"/>
        <v>4000</v>
      </c>
      <c r="I25" s="23" t="s">
        <v>1015</v>
      </c>
      <c r="J25" s="47">
        <f>H25/首页!$E$17</f>
        <v>25</v>
      </c>
      <c r="K25" s="23" t="s">
        <v>1244</v>
      </c>
      <c r="L25" s="47">
        <f>(ROW()-ROW(L$1)+1)*首页!$F$17</f>
        <v>3200</v>
      </c>
      <c r="M25" s="23" t="s">
        <v>1268</v>
      </c>
      <c r="N25" s="47">
        <f>ROUND(L25/首页!$J$17,2)</f>
        <v>4</v>
      </c>
      <c r="O25" s="23" t="s">
        <v>1292</v>
      </c>
      <c r="P25" s="24">
        <f>(ROW()-ROW(P$1)+1)*首页!$K$17</f>
        <v>325</v>
      </c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outlineLevel="2" x14ac:dyDescent="0.3">
      <c r="A27" s="56" t="s">
        <v>2059</v>
      </c>
      <c r="B27" s="74" t="s">
        <v>1945</v>
      </c>
      <c r="C27" s="81" t="s">
        <v>0</v>
      </c>
      <c r="D27" s="86" t="s">
        <v>208</v>
      </c>
      <c r="E27" s="87" t="s">
        <v>1944</v>
      </c>
      <c r="F27" s="86" t="s">
        <v>209</v>
      </c>
      <c r="G27" s="87" t="s">
        <v>1944</v>
      </c>
      <c r="H27" s="81" t="s">
        <v>210</v>
      </c>
      <c r="I27" s="82" t="s">
        <v>207</v>
      </c>
      <c r="J27" s="83" t="s">
        <v>1944</v>
      </c>
      <c r="K27" s="86" t="s">
        <v>153</v>
      </c>
      <c r="L27" s="87" t="s">
        <v>1944</v>
      </c>
      <c r="M27" s="86" t="s">
        <v>871</v>
      </c>
      <c r="N27" s="87" t="s">
        <v>1944</v>
      </c>
      <c r="O27" s="86" t="s">
        <v>895</v>
      </c>
      <c r="P27" s="87" t="s">
        <v>1944</v>
      </c>
    </row>
    <row r="28" spans="1:16" outlineLevel="2" x14ac:dyDescent="0.3">
      <c r="A28" s="56">
        <v>2</v>
      </c>
      <c r="B28" s="74" t="s">
        <v>1947</v>
      </c>
      <c r="C28" s="86" t="s">
        <v>1064</v>
      </c>
      <c r="D28" s="86" t="s">
        <v>920</v>
      </c>
      <c r="E28" s="114">
        <f>(ROW()-ROW(E$27)+1)*首页!$B$18</f>
        <v>480</v>
      </c>
      <c r="F28" s="86" t="s">
        <v>920</v>
      </c>
      <c r="G28" s="87">
        <f>(ROW()-ROW(G$27)+1)*首页!$C$18</f>
        <v>480</v>
      </c>
      <c r="H28" s="87">
        <f t="shared" ref="H28:H51" si="1">E28+G28</f>
        <v>960</v>
      </c>
      <c r="I28" s="86" t="s">
        <v>1040</v>
      </c>
      <c r="J28" s="114">
        <f>H28/首页!$E$18</f>
        <v>6</v>
      </c>
      <c r="K28" s="86" t="s">
        <v>1197</v>
      </c>
      <c r="L28" s="114">
        <f>(ROW()-ROW(L$27)+1)*首页!$F$18</f>
        <v>768</v>
      </c>
      <c r="M28" s="86" t="s">
        <v>1173</v>
      </c>
      <c r="N28" s="114">
        <f>ROUND(L28/首页!$J$18,2)</f>
        <v>0.96</v>
      </c>
      <c r="O28" s="86" t="s">
        <v>1149</v>
      </c>
      <c r="P28" s="87">
        <f>(ROW()-ROW(P$27)+1)*首页!$K$18</f>
        <v>78</v>
      </c>
    </row>
    <row r="29" spans="1:16" outlineLevel="2" x14ac:dyDescent="0.3">
      <c r="A29" s="56">
        <v>3</v>
      </c>
      <c r="B29" s="75" t="s">
        <v>1947</v>
      </c>
      <c r="C29" s="91" t="s">
        <v>872</v>
      </c>
      <c r="D29" s="91" t="s">
        <v>921</v>
      </c>
      <c r="E29" s="115">
        <f>(ROW()-ROW(E$27)+1)*首页!$B$18</f>
        <v>720</v>
      </c>
      <c r="F29" s="91" t="s">
        <v>921</v>
      </c>
      <c r="G29" s="92">
        <f>(ROW()-ROW(G$27)+1)*首页!$C$18</f>
        <v>720</v>
      </c>
      <c r="H29" s="92">
        <f t="shared" si="1"/>
        <v>1440</v>
      </c>
      <c r="I29" s="91" t="s">
        <v>1041</v>
      </c>
      <c r="J29" s="115">
        <f>H29/首页!$E$18</f>
        <v>9</v>
      </c>
      <c r="K29" s="91" t="s">
        <v>1198</v>
      </c>
      <c r="L29" s="115">
        <f>(ROW()-ROW(L$27)+1)*首页!$F$18</f>
        <v>1152</v>
      </c>
      <c r="M29" s="91" t="s">
        <v>1174</v>
      </c>
      <c r="N29" s="115">
        <f>ROUND(L29/首页!$J$18,2)</f>
        <v>1.44</v>
      </c>
      <c r="O29" s="91" t="s">
        <v>1150</v>
      </c>
      <c r="P29" s="92">
        <f>(ROW()-ROW(P$27)+1)*首页!$K$18</f>
        <v>117</v>
      </c>
    </row>
    <row r="30" spans="1:16" outlineLevel="2" x14ac:dyDescent="0.3">
      <c r="A30" s="56">
        <v>4</v>
      </c>
      <c r="B30" s="75" t="s">
        <v>1947</v>
      </c>
      <c r="C30" s="91" t="s">
        <v>873</v>
      </c>
      <c r="D30" s="91" t="s">
        <v>922</v>
      </c>
      <c r="E30" s="115">
        <f>(ROW()-ROW(E$27)+1)*首页!$B$18</f>
        <v>960</v>
      </c>
      <c r="F30" s="91" t="s">
        <v>922</v>
      </c>
      <c r="G30" s="92">
        <f>(ROW()-ROW(G$27)+1)*首页!$C$18</f>
        <v>960</v>
      </c>
      <c r="H30" s="92">
        <f t="shared" si="1"/>
        <v>1920</v>
      </c>
      <c r="I30" s="91" t="s">
        <v>1042</v>
      </c>
      <c r="J30" s="115">
        <f>H30/首页!$E$18</f>
        <v>12</v>
      </c>
      <c r="K30" s="91" t="s">
        <v>1199</v>
      </c>
      <c r="L30" s="115">
        <f>(ROW()-ROW(L$27)+1)*首页!$F$18</f>
        <v>1536</v>
      </c>
      <c r="M30" s="91" t="s">
        <v>1175</v>
      </c>
      <c r="N30" s="115">
        <f>ROUND(L30/首页!$J$18,2)</f>
        <v>1.92</v>
      </c>
      <c r="O30" s="91" t="s">
        <v>1151</v>
      </c>
      <c r="P30" s="92">
        <f>(ROW()-ROW(P$27)+1)*首页!$K$18</f>
        <v>156</v>
      </c>
    </row>
    <row r="31" spans="1:16" outlineLevel="2" x14ac:dyDescent="0.3">
      <c r="A31" s="56">
        <v>5</v>
      </c>
      <c r="B31" s="75" t="s">
        <v>1947</v>
      </c>
      <c r="C31" s="91" t="s">
        <v>874</v>
      </c>
      <c r="D31" s="91" t="s">
        <v>923</v>
      </c>
      <c r="E31" s="115">
        <f>(ROW()-ROW(E$27)+1)*首页!$B$18</f>
        <v>1200</v>
      </c>
      <c r="F31" s="91" t="s">
        <v>923</v>
      </c>
      <c r="G31" s="92">
        <f>(ROW()-ROW(G$27)+1)*首页!$C$18</f>
        <v>1200</v>
      </c>
      <c r="H31" s="92">
        <f t="shared" si="1"/>
        <v>2400</v>
      </c>
      <c r="I31" s="91" t="s">
        <v>1043</v>
      </c>
      <c r="J31" s="115">
        <f>H31/首页!$E$18</f>
        <v>15</v>
      </c>
      <c r="K31" s="91" t="s">
        <v>1200</v>
      </c>
      <c r="L31" s="115">
        <f>(ROW()-ROW(L$27)+1)*首页!$F$18</f>
        <v>1920</v>
      </c>
      <c r="M31" s="91" t="s">
        <v>1176</v>
      </c>
      <c r="N31" s="115">
        <f>ROUND(L31/首页!$J$18,2)</f>
        <v>2.4</v>
      </c>
      <c r="O31" s="91" t="s">
        <v>1152</v>
      </c>
      <c r="P31" s="92">
        <f>(ROW()-ROW(P$27)+1)*首页!$K$18</f>
        <v>195</v>
      </c>
    </row>
    <row r="32" spans="1:16" outlineLevel="2" x14ac:dyDescent="0.3">
      <c r="A32" s="56">
        <v>6</v>
      </c>
      <c r="B32" s="75" t="s">
        <v>1947</v>
      </c>
      <c r="C32" s="91" t="s">
        <v>875</v>
      </c>
      <c r="D32" s="91" t="s">
        <v>924</v>
      </c>
      <c r="E32" s="115">
        <f>(ROW()-ROW(E$27)+1)*首页!$B$18</f>
        <v>1440</v>
      </c>
      <c r="F32" s="91" t="s">
        <v>924</v>
      </c>
      <c r="G32" s="92">
        <f>(ROW()-ROW(G$27)+1)*首页!$C$18</f>
        <v>1440</v>
      </c>
      <c r="H32" s="92">
        <f t="shared" si="1"/>
        <v>2880</v>
      </c>
      <c r="I32" s="91" t="s">
        <v>1044</v>
      </c>
      <c r="J32" s="115">
        <f>H32/首页!$E$18</f>
        <v>18</v>
      </c>
      <c r="K32" s="91" t="s">
        <v>1201</v>
      </c>
      <c r="L32" s="115">
        <f>(ROW()-ROW(L$27)+1)*首页!$F$18</f>
        <v>2304</v>
      </c>
      <c r="M32" s="91" t="s">
        <v>1177</v>
      </c>
      <c r="N32" s="115">
        <f>ROUND(L32/首页!$J$18,2)</f>
        <v>2.88</v>
      </c>
      <c r="O32" s="91" t="s">
        <v>1153</v>
      </c>
      <c r="P32" s="92">
        <f>(ROW()-ROW(P$27)+1)*首页!$K$18</f>
        <v>234</v>
      </c>
    </row>
    <row r="33" spans="1:16" outlineLevel="2" x14ac:dyDescent="0.3">
      <c r="A33" s="56">
        <v>7</v>
      </c>
      <c r="B33" s="75" t="s">
        <v>1947</v>
      </c>
      <c r="C33" s="91" t="s">
        <v>876</v>
      </c>
      <c r="D33" s="91" t="s">
        <v>925</v>
      </c>
      <c r="E33" s="115">
        <f>(ROW()-ROW(E$27)+1)*首页!$B$18</f>
        <v>1680</v>
      </c>
      <c r="F33" s="91" t="s">
        <v>925</v>
      </c>
      <c r="G33" s="92">
        <f>(ROW()-ROW(G$27)+1)*首页!$C$18</f>
        <v>1680</v>
      </c>
      <c r="H33" s="92">
        <f t="shared" si="1"/>
        <v>3360</v>
      </c>
      <c r="I33" s="91" t="s">
        <v>1045</v>
      </c>
      <c r="J33" s="115">
        <f>H33/首页!$E$18</f>
        <v>21</v>
      </c>
      <c r="K33" s="91" t="s">
        <v>1202</v>
      </c>
      <c r="L33" s="115">
        <f>(ROW()-ROW(L$27)+1)*首页!$F$18</f>
        <v>2688</v>
      </c>
      <c r="M33" s="91" t="s">
        <v>1178</v>
      </c>
      <c r="N33" s="115">
        <f>ROUND(L33/首页!$J$18,2)</f>
        <v>3.36</v>
      </c>
      <c r="O33" s="91" t="s">
        <v>1154</v>
      </c>
      <c r="P33" s="92">
        <f>(ROW()-ROW(P$27)+1)*首页!$K$18</f>
        <v>273</v>
      </c>
    </row>
    <row r="34" spans="1:16" outlineLevel="2" x14ac:dyDescent="0.3">
      <c r="A34" s="56">
        <v>8</v>
      </c>
      <c r="B34" s="75" t="s">
        <v>1947</v>
      </c>
      <c r="C34" s="91" t="s">
        <v>877</v>
      </c>
      <c r="D34" s="91" t="s">
        <v>926</v>
      </c>
      <c r="E34" s="115">
        <f>(ROW()-ROW(E$27)+1)*首页!$B$18</f>
        <v>1920</v>
      </c>
      <c r="F34" s="91" t="s">
        <v>926</v>
      </c>
      <c r="G34" s="92">
        <f>(ROW()-ROW(G$27)+1)*首页!$C$18</f>
        <v>1920</v>
      </c>
      <c r="H34" s="92">
        <f t="shared" si="1"/>
        <v>3840</v>
      </c>
      <c r="I34" s="91" t="s">
        <v>1046</v>
      </c>
      <c r="J34" s="115">
        <f>H34/首页!$E$18</f>
        <v>24</v>
      </c>
      <c r="K34" s="91" t="s">
        <v>1203</v>
      </c>
      <c r="L34" s="115">
        <f>(ROW()-ROW(L$27)+1)*首页!$F$18</f>
        <v>3072</v>
      </c>
      <c r="M34" s="91" t="s">
        <v>1179</v>
      </c>
      <c r="N34" s="115">
        <f>ROUND(L34/首页!$J$18,2)</f>
        <v>3.84</v>
      </c>
      <c r="O34" s="91" t="s">
        <v>1155</v>
      </c>
      <c r="P34" s="92">
        <f>(ROW()-ROW(P$27)+1)*首页!$K$18</f>
        <v>312</v>
      </c>
    </row>
    <row r="35" spans="1:16" outlineLevel="2" x14ac:dyDescent="0.3">
      <c r="A35" s="56">
        <v>9</v>
      </c>
      <c r="B35" s="75" t="s">
        <v>1947</v>
      </c>
      <c r="C35" s="91" t="s">
        <v>878</v>
      </c>
      <c r="D35" s="91" t="s">
        <v>927</v>
      </c>
      <c r="E35" s="115">
        <f>(ROW()-ROW(E$27)+1)*首页!$B$18</f>
        <v>2160</v>
      </c>
      <c r="F35" s="91" t="s">
        <v>927</v>
      </c>
      <c r="G35" s="92">
        <f>(ROW()-ROW(G$27)+1)*首页!$C$18</f>
        <v>2160</v>
      </c>
      <c r="H35" s="92">
        <f t="shared" si="1"/>
        <v>4320</v>
      </c>
      <c r="I35" s="91" t="s">
        <v>1047</v>
      </c>
      <c r="J35" s="115">
        <f>H35/首页!$E$18</f>
        <v>27</v>
      </c>
      <c r="K35" s="91" t="s">
        <v>1204</v>
      </c>
      <c r="L35" s="115">
        <f>(ROW()-ROW(L$27)+1)*首页!$F$18</f>
        <v>3456</v>
      </c>
      <c r="M35" s="91" t="s">
        <v>1180</v>
      </c>
      <c r="N35" s="115">
        <f>ROUND(L35/首页!$J$18,2)</f>
        <v>4.32</v>
      </c>
      <c r="O35" s="91" t="s">
        <v>1156</v>
      </c>
      <c r="P35" s="92">
        <f>(ROW()-ROW(P$27)+1)*首页!$K$18</f>
        <v>351</v>
      </c>
    </row>
    <row r="36" spans="1:16" outlineLevel="2" x14ac:dyDescent="0.3">
      <c r="A36" s="56">
        <v>10</v>
      </c>
      <c r="B36" s="75" t="s">
        <v>1947</v>
      </c>
      <c r="C36" s="91" t="s">
        <v>879</v>
      </c>
      <c r="D36" s="91" t="s">
        <v>928</v>
      </c>
      <c r="E36" s="115">
        <f>(ROW()-ROW(E$27)+1)*首页!$B$18</f>
        <v>2400</v>
      </c>
      <c r="F36" s="91" t="s">
        <v>928</v>
      </c>
      <c r="G36" s="92">
        <f>(ROW()-ROW(G$27)+1)*首页!$C$18</f>
        <v>2400</v>
      </c>
      <c r="H36" s="92">
        <f t="shared" si="1"/>
        <v>4800</v>
      </c>
      <c r="I36" s="91" t="s">
        <v>1048</v>
      </c>
      <c r="J36" s="115">
        <f>H36/首页!$E$18</f>
        <v>30</v>
      </c>
      <c r="K36" s="91" t="s">
        <v>1205</v>
      </c>
      <c r="L36" s="115">
        <f>(ROW()-ROW(L$27)+1)*首页!$F$18</f>
        <v>3840</v>
      </c>
      <c r="M36" s="91" t="s">
        <v>1181</v>
      </c>
      <c r="N36" s="115">
        <f>ROUND(L36/首页!$J$18,2)</f>
        <v>4.8</v>
      </c>
      <c r="O36" s="91" t="s">
        <v>1157</v>
      </c>
      <c r="P36" s="92">
        <f>(ROW()-ROW(P$27)+1)*首页!$K$18</f>
        <v>390</v>
      </c>
    </row>
    <row r="37" spans="1:16" outlineLevel="2" x14ac:dyDescent="0.3">
      <c r="A37" s="56">
        <v>11</v>
      </c>
      <c r="B37" s="75" t="s">
        <v>1947</v>
      </c>
      <c r="C37" s="91" t="s">
        <v>880</v>
      </c>
      <c r="D37" s="91" t="s">
        <v>929</v>
      </c>
      <c r="E37" s="115">
        <f>(ROW()-ROW(E$27)+1)*首页!$B$18</f>
        <v>2640</v>
      </c>
      <c r="F37" s="91" t="s">
        <v>929</v>
      </c>
      <c r="G37" s="92">
        <f>(ROW()-ROW(G$27)+1)*首页!$C$18</f>
        <v>2640</v>
      </c>
      <c r="H37" s="92">
        <f t="shared" si="1"/>
        <v>5280</v>
      </c>
      <c r="I37" s="91" t="s">
        <v>1049</v>
      </c>
      <c r="J37" s="115">
        <f>H37/首页!$E$18</f>
        <v>33</v>
      </c>
      <c r="K37" s="91" t="s">
        <v>1206</v>
      </c>
      <c r="L37" s="115">
        <f>(ROW()-ROW(L$27)+1)*首页!$F$18</f>
        <v>4224</v>
      </c>
      <c r="M37" s="91" t="s">
        <v>1182</v>
      </c>
      <c r="N37" s="115">
        <f>ROUND(L37/首页!$J$18,2)</f>
        <v>5.28</v>
      </c>
      <c r="O37" s="91" t="s">
        <v>1158</v>
      </c>
      <c r="P37" s="92">
        <f>(ROW()-ROW(P$27)+1)*首页!$K$18</f>
        <v>429</v>
      </c>
    </row>
    <row r="38" spans="1:16" outlineLevel="2" x14ac:dyDescent="0.3">
      <c r="A38" s="56">
        <v>12</v>
      </c>
      <c r="B38" s="75" t="s">
        <v>1947</v>
      </c>
      <c r="C38" s="91" t="s">
        <v>881</v>
      </c>
      <c r="D38" s="91" t="s">
        <v>930</v>
      </c>
      <c r="E38" s="115">
        <f>(ROW()-ROW(E$27)+1)*首页!$B$18</f>
        <v>2880</v>
      </c>
      <c r="F38" s="91" t="s">
        <v>930</v>
      </c>
      <c r="G38" s="92">
        <f>(ROW()-ROW(G$27)+1)*首页!$C$18</f>
        <v>2880</v>
      </c>
      <c r="H38" s="92">
        <f t="shared" si="1"/>
        <v>5760</v>
      </c>
      <c r="I38" s="91" t="s">
        <v>1050</v>
      </c>
      <c r="J38" s="115">
        <f>H38/首页!$E$18</f>
        <v>36</v>
      </c>
      <c r="K38" s="91" t="s">
        <v>1207</v>
      </c>
      <c r="L38" s="115">
        <f>(ROW()-ROW(L$27)+1)*首页!$F$18</f>
        <v>4608</v>
      </c>
      <c r="M38" s="91" t="s">
        <v>1183</v>
      </c>
      <c r="N38" s="115">
        <f>ROUND(L38/首页!$J$18,2)</f>
        <v>5.76</v>
      </c>
      <c r="O38" s="91" t="s">
        <v>1159</v>
      </c>
      <c r="P38" s="92">
        <f>(ROW()-ROW(P$27)+1)*首页!$K$18</f>
        <v>468</v>
      </c>
    </row>
    <row r="39" spans="1:16" outlineLevel="2" x14ac:dyDescent="0.3">
      <c r="A39" s="56">
        <v>13</v>
      </c>
      <c r="B39" s="75" t="s">
        <v>1947</v>
      </c>
      <c r="C39" s="91" t="s">
        <v>882</v>
      </c>
      <c r="D39" s="91" t="s">
        <v>931</v>
      </c>
      <c r="E39" s="115">
        <f>(ROW()-ROW(E$27)+1)*首页!$B$18</f>
        <v>3120</v>
      </c>
      <c r="F39" s="91" t="s">
        <v>931</v>
      </c>
      <c r="G39" s="92">
        <f>(ROW()-ROW(G$27)+1)*首页!$C$18</f>
        <v>3120</v>
      </c>
      <c r="H39" s="92">
        <f t="shared" si="1"/>
        <v>6240</v>
      </c>
      <c r="I39" s="91" t="s">
        <v>1051</v>
      </c>
      <c r="J39" s="115">
        <f>H39/首页!$E$18</f>
        <v>39</v>
      </c>
      <c r="K39" s="91" t="s">
        <v>1208</v>
      </c>
      <c r="L39" s="115">
        <f>(ROW()-ROW(L$27)+1)*首页!$F$18</f>
        <v>4992</v>
      </c>
      <c r="M39" s="91" t="s">
        <v>1184</v>
      </c>
      <c r="N39" s="115">
        <f>ROUND(L39/首页!$J$18,2)</f>
        <v>6.24</v>
      </c>
      <c r="O39" s="91" t="s">
        <v>1160</v>
      </c>
      <c r="P39" s="92">
        <f>(ROW()-ROW(P$27)+1)*首页!$K$18</f>
        <v>507</v>
      </c>
    </row>
    <row r="40" spans="1:16" outlineLevel="2" x14ac:dyDescent="0.3">
      <c r="A40" s="56">
        <v>14</v>
      </c>
      <c r="B40" s="75" t="s">
        <v>1947</v>
      </c>
      <c r="C40" s="91" t="s">
        <v>883</v>
      </c>
      <c r="D40" s="91" t="s">
        <v>932</v>
      </c>
      <c r="E40" s="115">
        <f>(ROW()-ROW(E$27)+1)*首页!$B$18</f>
        <v>3360</v>
      </c>
      <c r="F40" s="91" t="s">
        <v>932</v>
      </c>
      <c r="G40" s="92">
        <f>(ROW()-ROW(G$27)+1)*首页!$C$18</f>
        <v>3360</v>
      </c>
      <c r="H40" s="92">
        <f t="shared" si="1"/>
        <v>6720</v>
      </c>
      <c r="I40" s="91" t="s">
        <v>1052</v>
      </c>
      <c r="J40" s="115">
        <f>H40/首页!$E$18</f>
        <v>42</v>
      </c>
      <c r="K40" s="91" t="s">
        <v>1209</v>
      </c>
      <c r="L40" s="115">
        <f>(ROW()-ROW(L$27)+1)*首页!$F$18</f>
        <v>5376</v>
      </c>
      <c r="M40" s="91" t="s">
        <v>1185</v>
      </c>
      <c r="N40" s="115">
        <f>ROUND(L40/首页!$J$18,2)</f>
        <v>6.72</v>
      </c>
      <c r="O40" s="91" t="s">
        <v>1161</v>
      </c>
      <c r="P40" s="92">
        <f>(ROW()-ROW(P$27)+1)*首页!$K$18</f>
        <v>546</v>
      </c>
    </row>
    <row r="41" spans="1:16" outlineLevel="2" x14ac:dyDescent="0.3">
      <c r="A41" s="56">
        <v>15</v>
      </c>
      <c r="B41" s="75" t="s">
        <v>1947</v>
      </c>
      <c r="C41" s="91" t="s">
        <v>884</v>
      </c>
      <c r="D41" s="91" t="s">
        <v>933</v>
      </c>
      <c r="E41" s="115">
        <f>(ROW()-ROW(E$27)+1)*首页!$B$18</f>
        <v>3600</v>
      </c>
      <c r="F41" s="91" t="s">
        <v>933</v>
      </c>
      <c r="G41" s="92">
        <f>(ROW()-ROW(G$27)+1)*首页!$C$18</f>
        <v>3600</v>
      </c>
      <c r="H41" s="92">
        <f t="shared" si="1"/>
        <v>7200</v>
      </c>
      <c r="I41" s="91" t="s">
        <v>1053</v>
      </c>
      <c r="J41" s="115">
        <f>H41/首页!$E$18</f>
        <v>45</v>
      </c>
      <c r="K41" s="91" t="s">
        <v>1210</v>
      </c>
      <c r="L41" s="115">
        <f>(ROW()-ROW(L$27)+1)*首页!$F$18</f>
        <v>5760</v>
      </c>
      <c r="M41" s="91" t="s">
        <v>1186</v>
      </c>
      <c r="N41" s="115">
        <f>ROUND(L41/首页!$J$18,2)</f>
        <v>7.2</v>
      </c>
      <c r="O41" s="91" t="s">
        <v>1162</v>
      </c>
      <c r="P41" s="92">
        <f>(ROW()-ROW(P$27)+1)*首页!$K$18</f>
        <v>585</v>
      </c>
    </row>
    <row r="42" spans="1:16" outlineLevel="2" x14ac:dyDescent="0.3">
      <c r="A42" s="56">
        <v>16</v>
      </c>
      <c r="B42" s="75" t="s">
        <v>1947</v>
      </c>
      <c r="C42" s="91" t="s">
        <v>885</v>
      </c>
      <c r="D42" s="91" t="s">
        <v>934</v>
      </c>
      <c r="E42" s="115">
        <f>(ROW()-ROW(E$27)+1)*首页!$B$18</f>
        <v>3840</v>
      </c>
      <c r="F42" s="91" t="s">
        <v>934</v>
      </c>
      <c r="G42" s="92">
        <f>(ROW()-ROW(G$27)+1)*首页!$C$18</f>
        <v>3840</v>
      </c>
      <c r="H42" s="92">
        <f t="shared" si="1"/>
        <v>7680</v>
      </c>
      <c r="I42" s="91" t="s">
        <v>1054</v>
      </c>
      <c r="J42" s="115">
        <f>H42/首页!$E$18</f>
        <v>48</v>
      </c>
      <c r="K42" s="91" t="s">
        <v>1211</v>
      </c>
      <c r="L42" s="115">
        <f>(ROW()-ROW(L$27)+1)*首页!$F$18</f>
        <v>6144</v>
      </c>
      <c r="M42" s="91" t="s">
        <v>1187</v>
      </c>
      <c r="N42" s="115">
        <f>ROUND(L42/首页!$J$18,2)</f>
        <v>7.68</v>
      </c>
      <c r="O42" s="91" t="s">
        <v>1163</v>
      </c>
      <c r="P42" s="92">
        <f>(ROW()-ROW(P$27)+1)*首页!$K$18</f>
        <v>624</v>
      </c>
    </row>
    <row r="43" spans="1:16" outlineLevel="2" x14ac:dyDescent="0.3">
      <c r="A43" s="56">
        <v>17</v>
      </c>
      <c r="B43" s="75" t="s">
        <v>1947</v>
      </c>
      <c r="C43" s="91" t="s">
        <v>886</v>
      </c>
      <c r="D43" s="91" t="s">
        <v>935</v>
      </c>
      <c r="E43" s="115">
        <f>(ROW()-ROW(E$27)+1)*首页!$B$18</f>
        <v>4080</v>
      </c>
      <c r="F43" s="91" t="s">
        <v>935</v>
      </c>
      <c r="G43" s="92">
        <f>(ROW()-ROW(G$27)+1)*首页!$C$18</f>
        <v>4080</v>
      </c>
      <c r="H43" s="92">
        <f t="shared" si="1"/>
        <v>8160</v>
      </c>
      <c r="I43" s="91" t="s">
        <v>1055</v>
      </c>
      <c r="J43" s="115">
        <f>H43/首页!$E$18</f>
        <v>51</v>
      </c>
      <c r="K43" s="91" t="s">
        <v>1212</v>
      </c>
      <c r="L43" s="115">
        <f>(ROW()-ROW(L$27)+1)*首页!$F$18</f>
        <v>6528</v>
      </c>
      <c r="M43" s="91" t="s">
        <v>1188</v>
      </c>
      <c r="N43" s="115">
        <f>ROUND(L43/首页!$J$18,2)</f>
        <v>8.16</v>
      </c>
      <c r="O43" s="91" t="s">
        <v>1164</v>
      </c>
      <c r="P43" s="92">
        <f>(ROW()-ROW(P$27)+1)*首页!$K$18</f>
        <v>663</v>
      </c>
    </row>
    <row r="44" spans="1:16" outlineLevel="2" x14ac:dyDescent="0.3">
      <c r="A44" s="56">
        <v>18</v>
      </c>
      <c r="B44" s="75" t="s">
        <v>1947</v>
      </c>
      <c r="C44" s="91" t="s">
        <v>887</v>
      </c>
      <c r="D44" s="91" t="s">
        <v>936</v>
      </c>
      <c r="E44" s="115">
        <f>(ROW()-ROW(E$27)+1)*首页!$B$18</f>
        <v>4320</v>
      </c>
      <c r="F44" s="91" t="s">
        <v>936</v>
      </c>
      <c r="G44" s="92">
        <f>(ROW()-ROW(G$27)+1)*首页!$C$18</f>
        <v>4320</v>
      </c>
      <c r="H44" s="92">
        <f t="shared" si="1"/>
        <v>8640</v>
      </c>
      <c r="I44" s="91" t="s">
        <v>1056</v>
      </c>
      <c r="J44" s="115">
        <f>H44/首页!$E$18</f>
        <v>54</v>
      </c>
      <c r="K44" s="91" t="s">
        <v>1213</v>
      </c>
      <c r="L44" s="115">
        <f>(ROW()-ROW(L$27)+1)*首页!$F$18</f>
        <v>6912</v>
      </c>
      <c r="M44" s="91" t="s">
        <v>1189</v>
      </c>
      <c r="N44" s="115">
        <f>ROUND(L44/首页!$J$18,2)</f>
        <v>8.64</v>
      </c>
      <c r="O44" s="91" t="s">
        <v>1165</v>
      </c>
      <c r="P44" s="92">
        <f>(ROW()-ROW(P$27)+1)*首页!$K$18</f>
        <v>702</v>
      </c>
    </row>
    <row r="45" spans="1:16" outlineLevel="2" x14ac:dyDescent="0.3">
      <c r="A45" s="56">
        <v>19</v>
      </c>
      <c r="B45" s="75" t="s">
        <v>1947</v>
      </c>
      <c r="C45" s="91" t="s">
        <v>888</v>
      </c>
      <c r="D45" s="91" t="s">
        <v>937</v>
      </c>
      <c r="E45" s="115">
        <f>(ROW()-ROW(E$27)+1)*首页!$B$18</f>
        <v>4560</v>
      </c>
      <c r="F45" s="91" t="s">
        <v>937</v>
      </c>
      <c r="G45" s="92">
        <f>(ROW()-ROW(G$27)+1)*首页!$C$18</f>
        <v>4560</v>
      </c>
      <c r="H45" s="92">
        <f t="shared" si="1"/>
        <v>9120</v>
      </c>
      <c r="I45" s="91" t="s">
        <v>1057</v>
      </c>
      <c r="J45" s="115">
        <f>H45/首页!$E$18</f>
        <v>57</v>
      </c>
      <c r="K45" s="91" t="s">
        <v>1214</v>
      </c>
      <c r="L45" s="115">
        <f>(ROW()-ROW(L$27)+1)*首页!$F$18</f>
        <v>7296</v>
      </c>
      <c r="M45" s="91" t="s">
        <v>1190</v>
      </c>
      <c r="N45" s="115">
        <f>ROUND(L45/首页!$J$18,2)</f>
        <v>9.1199999999999992</v>
      </c>
      <c r="O45" s="91" t="s">
        <v>1166</v>
      </c>
      <c r="P45" s="92">
        <f>(ROW()-ROW(P$27)+1)*首页!$K$18</f>
        <v>741</v>
      </c>
    </row>
    <row r="46" spans="1:16" outlineLevel="2" x14ac:dyDescent="0.3">
      <c r="A46" s="56">
        <v>20</v>
      </c>
      <c r="B46" s="75" t="s">
        <v>1947</v>
      </c>
      <c r="C46" s="91" t="s">
        <v>889</v>
      </c>
      <c r="D46" s="91" t="s">
        <v>938</v>
      </c>
      <c r="E46" s="115">
        <f>(ROW()-ROW(E$27)+1)*首页!$B$18</f>
        <v>4800</v>
      </c>
      <c r="F46" s="91" t="s">
        <v>938</v>
      </c>
      <c r="G46" s="92">
        <f>(ROW()-ROW(G$27)+1)*首页!$C$18</f>
        <v>4800</v>
      </c>
      <c r="H46" s="92">
        <f t="shared" si="1"/>
        <v>9600</v>
      </c>
      <c r="I46" s="91" t="s">
        <v>1058</v>
      </c>
      <c r="J46" s="115">
        <f>H46/首页!$E$18</f>
        <v>60</v>
      </c>
      <c r="K46" s="91" t="s">
        <v>1215</v>
      </c>
      <c r="L46" s="115">
        <f>(ROW()-ROW(L$27)+1)*首页!$F$18</f>
        <v>7680</v>
      </c>
      <c r="M46" s="91" t="s">
        <v>1191</v>
      </c>
      <c r="N46" s="115">
        <f>ROUND(L46/首页!$J$18,2)</f>
        <v>9.6</v>
      </c>
      <c r="O46" s="91" t="s">
        <v>1167</v>
      </c>
      <c r="P46" s="92">
        <f>(ROW()-ROW(P$27)+1)*首页!$K$18</f>
        <v>780</v>
      </c>
    </row>
    <row r="47" spans="1:16" outlineLevel="2" x14ac:dyDescent="0.3">
      <c r="A47" s="56">
        <v>21</v>
      </c>
      <c r="B47" s="75" t="s">
        <v>1947</v>
      </c>
      <c r="C47" s="91" t="s">
        <v>890</v>
      </c>
      <c r="D47" s="91" t="s">
        <v>939</v>
      </c>
      <c r="E47" s="115">
        <f>(ROW()-ROW(E$27)+1)*首页!$B$18</f>
        <v>5040</v>
      </c>
      <c r="F47" s="91" t="s">
        <v>939</v>
      </c>
      <c r="G47" s="92">
        <f>(ROW()-ROW(G$27)+1)*首页!$C$18</f>
        <v>5040</v>
      </c>
      <c r="H47" s="92">
        <f t="shared" si="1"/>
        <v>10080</v>
      </c>
      <c r="I47" s="91" t="s">
        <v>1059</v>
      </c>
      <c r="J47" s="115">
        <f>H47/首页!$E$18</f>
        <v>63</v>
      </c>
      <c r="K47" s="91" t="s">
        <v>1216</v>
      </c>
      <c r="L47" s="115">
        <f>(ROW()-ROW(L$27)+1)*首页!$F$18</f>
        <v>8064</v>
      </c>
      <c r="M47" s="91" t="s">
        <v>1192</v>
      </c>
      <c r="N47" s="115">
        <f>ROUND(L47/首页!$J$18,2)</f>
        <v>10.08</v>
      </c>
      <c r="O47" s="91" t="s">
        <v>1168</v>
      </c>
      <c r="P47" s="92">
        <f>(ROW()-ROW(P$27)+1)*首页!$K$18</f>
        <v>819</v>
      </c>
    </row>
    <row r="48" spans="1:16" outlineLevel="2" x14ac:dyDescent="0.3">
      <c r="A48" s="56">
        <v>22</v>
      </c>
      <c r="B48" s="75" t="s">
        <v>1947</v>
      </c>
      <c r="C48" s="91" t="s">
        <v>891</v>
      </c>
      <c r="D48" s="91" t="s">
        <v>940</v>
      </c>
      <c r="E48" s="115">
        <f>(ROW()-ROW(E$27)+1)*首页!$B$18</f>
        <v>5280</v>
      </c>
      <c r="F48" s="91" t="s">
        <v>940</v>
      </c>
      <c r="G48" s="92">
        <f>(ROW()-ROW(G$27)+1)*首页!$C$18</f>
        <v>5280</v>
      </c>
      <c r="H48" s="92">
        <f t="shared" si="1"/>
        <v>10560</v>
      </c>
      <c r="I48" s="91" t="s">
        <v>1060</v>
      </c>
      <c r="J48" s="115">
        <f>H48/首页!$E$18</f>
        <v>66</v>
      </c>
      <c r="K48" s="91" t="s">
        <v>1217</v>
      </c>
      <c r="L48" s="115">
        <f>(ROW()-ROW(L$27)+1)*首页!$F$18</f>
        <v>8448</v>
      </c>
      <c r="M48" s="91" t="s">
        <v>1193</v>
      </c>
      <c r="N48" s="115">
        <f>ROUND(L48/首页!$J$18,2)</f>
        <v>10.56</v>
      </c>
      <c r="O48" s="91" t="s">
        <v>1169</v>
      </c>
      <c r="P48" s="92">
        <f>(ROW()-ROW(P$27)+1)*首页!$K$18</f>
        <v>858</v>
      </c>
    </row>
    <row r="49" spans="1:16" outlineLevel="2" x14ac:dyDescent="0.3">
      <c r="A49" s="56">
        <v>23</v>
      </c>
      <c r="B49" s="75" t="s">
        <v>1947</v>
      </c>
      <c r="C49" s="91" t="s">
        <v>892</v>
      </c>
      <c r="D49" s="91" t="s">
        <v>941</v>
      </c>
      <c r="E49" s="115">
        <f>(ROW()-ROW(E$27)+1)*首页!$B$18</f>
        <v>5520</v>
      </c>
      <c r="F49" s="91" t="s">
        <v>941</v>
      </c>
      <c r="G49" s="92">
        <f>(ROW()-ROW(G$27)+1)*首页!$C$18</f>
        <v>5520</v>
      </c>
      <c r="H49" s="92">
        <f t="shared" si="1"/>
        <v>11040</v>
      </c>
      <c r="I49" s="91" t="s">
        <v>1061</v>
      </c>
      <c r="J49" s="115">
        <f>H49/首页!$E$18</f>
        <v>69</v>
      </c>
      <c r="K49" s="91" t="s">
        <v>1218</v>
      </c>
      <c r="L49" s="115">
        <f>(ROW()-ROW(L$27)+1)*首页!$F$18</f>
        <v>8832</v>
      </c>
      <c r="M49" s="91" t="s">
        <v>1194</v>
      </c>
      <c r="N49" s="115">
        <f>ROUND(L49/首页!$J$18,2)</f>
        <v>11.04</v>
      </c>
      <c r="O49" s="91" t="s">
        <v>1170</v>
      </c>
      <c r="P49" s="92">
        <f>(ROW()-ROW(P$27)+1)*首页!$K$18</f>
        <v>897</v>
      </c>
    </row>
    <row r="50" spans="1:16" outlineLevel="2" x14ac:dyDescent="0.3">
      <c r="A50" s="56">
        <v>24</v>
      </c>
      <c r="B50" s="75" t="s">
        <v>1947</v>
      </c>
      <c r="C50" s="91" t="s">
        <v>893</v>
      </c>
      <c r="D50" s="91" t="s">
        <v>942</v>
      </c>
      <c r="E50" s="115">
        <f>(ROW()-ROW(E$27)+1)*首页!$B$18</f>
        <v>5760</v>
      </c>
      <c r="F50" s="91" t="s">
        <v>942</v>
      </c>
      <c r="G50" s="92">
        <f>(ROW()-ROW(G$27)+1)*首页!$C$18</f>
        <v>5760</v>
      </c>
      <c r="H50" s="92">
        <f t="shared" si="1"/>
        <v>11520</v>
      </c>
      <c r="I50" s="91" t="s">
        <v>1062</v>
      </c>
      <c r="J50" s="115">
        <f>H50/首页!$E$18</f>
        <v>72</v>
      </c>
      <c r="K50" s="91" t="s">
        <v>1219</v>
      </c>
      <c r="L50" s="115">
        <f>(ROW()-ROW(L$27)+1)*首页!$F$18</f>
        <v>9216</v>
      </c>
      <c r="M50" s="91" t="s">
        <v>1195</v>
      </c>
      <c r="N50" s="115">
        <f>ROUND(L50/首页!$J$18,2)</f>
        <v>11.52</v>
      </c>
      <c r="O50" s="91" t="s">
        <v>1171</v>
      </c>
      <c r="P50" s="92">
        <f>(ROW()-ROW(P$27)+1)*首页!$K$18</f>
        <v>936</v>
      </c>
    </row>
    <row r="51" spans="1:16" outlineLevel="2" x14ac:dyDescent="0.3">
      <c r="A51" s="56">
        <v>25</v>
      </c>
      <c r="B51" s="76" t="s">
        <v>1947</v>
      </c>
      <c r="C51" s="94" t="s">
        <v>894</v>
      </c>
      <c r="D51" s="94" t="s">
        <v>943</v>
      </c>
      <c r="E51" s="116">
        <f>(ROW()-ROW(E$27)+1)*首页!$B$18</f>
        <v>6000</v>
      </c>
      <c r="F51" s="94" t="s">
        <v>943</v>
      </c>
      <c r="G51" s="95">
        <f>(ROW()-ROW(G$27)+1)*首页!$C$18</f>
        <v>6000</v>
      </c>
      <c r="H51" s="95">
        <f t="shared" si="1"/>
        <v>12000</v>
      </c>
      <c r="I51" s="94" t="s">
        <v>1063</v>
      </c>
      <c r="J51" s="116">
        <f>H51/首页!$E$18</f>
        <v>75</v>
      </c>
      <c r="K51" s="94" t="s">
        <v>1220</v>
      </c>
      <c r="L51" s="116">
        <f>(ROW()-ROW(L$27)+1)*首页!$F$18</f>
        <v>9600</v>
      </c>
      <c r="M51" s="94" t="s">
        <v>1196</v>
      </c>
      <c r="N51" s="116">
        <f>ROUND(L51/首页!$J$18,2)</f>
        <v>12</v>
      </c>
      <c r="O51" s="94" t="s">
        <v>1172</v>
      </c>
      <c r="P51" s="95">
        <f>(ROW()-ROW(P$27)+1)*首页!$K$18</f>
        <v>975</v>
      </c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outlineLevel="1" x14ac:dyDescent="0.3">
      <c r="A54" s="56" t="s">
        <v>2059</v>
      </c>
      <c r="B54" s="9" t="s">
        <v>1945</v>
      </c>
      <c r="C54" s="9" t="s">
        <v>0</v>
      </c>
      <c r="D54" s="18" t="s">
        <v>208</v>
      </c>
      <c r="E54" s="19" t="s">
        <v>1944</v>
      </c>
      <c r="F54" s="18" t="s">
        <v>209</v>
      </c>
      <c r="G54" s="19" t="s">
        <v>1944</v>
      </c>
      <c r="H54" s="9" t="s">
        <v>210</v>
      </c>
      <c r="I54" s="3" t="s">
        <v>207</v>
      </c>
      <c r="J54" s="10" t="s">
        <v>1944</v>
      </c>
      <c r="K54" s="18" t="s">
        <v>153</v>
      </c>
      <c r="L54" s="19" t="s">
        <v>1944</v>
      </c>
      <c r="M54" s="18" t="s">
        <v>871</v>
      </c>
      <c r="N54" s="19" t="s">
        <v>1944</v>
      </c>
      <c r="O54" s="18" t="s">
        <v>895</v>
      </c>
      <c r="P54" s="19" t="s">
        <v>1944</v>
      </c>
    </row>
    <row r="55" spans="1:16" outlineLevel="1" x14ac:dyDescent="0.3">
      <c r="A55" s="56">
        <v>2</v>
      </c>
      <c r="B55" s="16" t="s">
        <v>1948</v>
      </c>
      <c r="C55" s="18" t="s">
        <v>1064</v>
      </c>
      <c r="D55" s="18" t="s">
        <v>944</v>
      </c>
      <c r="E55" s="58">
        <f>(ROW()-ROW(E$54)+1)*首页!$B$19</f>
        <v>1440</v>
      </c>
      <c r="F55" s="18" t="s">
        <v>2616</v>
      </c>
      <c r="G55" s="19">
        <f>(ROW()-ROW(G$54)+1)*首页!$C$19</f>
        <v>1440</v>
      </c>
      <c r="H55" s="19">
        <f t="shared" ref="H55:H78" si="2">E55+G55</f>
        <v>2880</v>
      </c>
      <c r="I55" s="18" t="s">
        <v>1017</v>
      </c>
      <c r="J55" s="58">
        <f>H55/首页!$E$19</f>
        <v>18</v>
      </c>
      <c r="K55" s="18" t="s">
        <v>1125</v>
      </c>
      <c r="L55" s="19">
        <f>(ROW()-ROW(L$54)+1)*首页!$F$19</f>
        <v>2304</v>
      </c>
      <c r="M55" s="18" t="s">
        <v>1077</v>
      </c>
      <c r="N55" s="19">
        <f>ROUND(L55/首页!$J$19,2)</f>
        <v>2.88</v>
      </c>
      <c r="O55" s="18" t="s">
        <v>1101</v>
      </c>
      <c r="P55" s="19">
        <f>(ROW()-ROW(P$54)+1)*首页!$K$19</f>
        <v>234</v>
      </c>
    </row>
    <row r="56" spans="1:16" outlineLevel="1" x14ac:dyDescent="0.3">
      <c r="A56" s="56">
        <v>3</v>
      </c>
      <c r="B56" s="16" t="s">
        <v>1948</v>
      </c>
      <c r="C56" s="20" t="s">
        <v>872</v>
      </c>
      <c r="D56" s="20" t="s">
        <v>949</v>
      </c>
      <c r="E56" s="59">
        <f>(ROW()-ROW(E$54)+1)*首页!$B$19</f>
        <v>2160</v>
      </c>
      <c r="F56" s="20" t="s">
        <v>2617</v>
      </c>
      <c r="G56" s="21">
        <f>(ROW()-ROW(G$54)+1)*首页!$C$19</f>
        <v>2160</v>
      </c>
      <c r="H56" s="21">
        <f t="shared" si="2"/>
        <v>4320</v>
      </c>
      <c r="I56" s="20" t="s">
        <v>1018</v>
      </c>
      <c r="J56" s="59">
        <f>H56/首页!$E$19</f>
        <v>27</v>
      </c>
      <c r="K56" s="20" t="s">
        <v>1126</v>
      </c>
      <c r="L56" s="21">
        <f>(ROW()-ROW(L$54)+1)*首页!$F$19</f>
        <v>3456</v>
      </c>
      <c r="M56" s="20" t="s">
        <v>1078</v>
      </c>
      <c r="N56" s="21">
        <f>ROUND(L56/首页!$J$19,2)</f>
        <v>4.32</v>
      </c>
      <c r="O56" s="20" t="s">
        <v>1102</v>
      </c>
      <c r="P56" s="21">
        <f>(ROW()-ROW(P$54)+1)*首页!$K$19</f>
        <v>351</v>
      </c>
    </row>
    <row r="57" spans="1:16" outlineLevel="1" x14ac:dyDescent="0.3">
      <c r="A57" s="56">
        <v>4</v>
      </c>
      <c r="B57" s="16" t="s">
        <v>1948</v>
      </c>
      <c r="C57" s="20" t="s">
        <v>873</v>
      </c>
      <c r="D57" s="20" t="s">
        <v>945</v>
      </c>
      <c r="E57" s="59">
        <f>(ROW()-ROW(E$54)+1)*首页!$B$19</f>
        <v>2880</v>
      </c>
      <c r="F57" s="20" t="s">
        <v>2618</v>
      </c>
      <c r="G57" s="21">
        <f>(ROW()-ROW(G$54)+1)*首页!$C$19</f>
        <v>2880</v>
      </c>
      <c r="H57" s="21">
        <f t="shared" si="2"/>
        <v>5760</v>
      </c>
      <c r="I57" s="20" t="s">
        <v>1019</v>
      </c>
      <c r="J57" s="59">
        <f>H57/首页!$E$19</f>
        <v>36</v>
      </c>
      <c r="K57" s="20" t="s">
        <v>1127</v>
      </c>
      <c r="L57" s="21">
        <f>(ROW()-ROW(L$54)+1)*首页!$F$19</f>
        <v>4608</v>
      </c>
      <c r="M57" s="20" t="s">
        <v>1079</v>
      </c>
      <c r="N57" s="21">
        <f>ROUND(L57/首页!$J$19,2)</f>
        <v>5.76</v>
      </c>
      <c r="O57" s="20" t="s">
        <v>1103</v>
      </c>
      <c r="P57" s="21">
        <f>(ROW()-ROW(P$54)+1)*首页!$K$19</f>
        <v>468</v>
      </c>
    </row>
    <row r="58" spans="1:16" outlineLevel="1" x14ac:dyDescent="0.3">
      <c r="A58" s="56">
        <v>5</v>
      </c>
      <c r="B58" s="16" t="s">
        <v>1948</v>
      </c>
      <c r="C58" s="20" t="s">
        <v>874</v>
      </c>
      <c r="D58" s="20" t="s">
        <v>946</v>
      </c>
      <c r="E58" s="59">
        <f>(ROW()-ROW(E$54)+1)*首页!$B$19</f>
        <v>3600</v>
      </c>
      <c r="F58" s="20" t="s">
        <v>2619</v>
      </c>
      <c r="G58" s="21">
        <f>(ROW()-ROW(G$54)+1)*首页!$C$19</f>
        <v>3600</v>
      </c>
      <c r="H58" s="21">
        <f t="shared" si="2"/>
        <v>7200</v>
      </c>
      <c r="I58" s="20" t="s">
        <v>1020</v>
      </c>
      <c r="J58" s="59">
        <f>H58/首页!$E$19</f>
        <v>45</v>
      </c>
      <c r="K58" s="20" t="s">
        <v>1128</v>
      </c>
      <c r="L58" s="21">
        <f>(ROW()-ROW(L$54)+1)*首页!$F$19</f>
        <v>5760</v>
      </c>
      <c r="M58" s="20" t="s">
        <v>1080</v>
      </c>
      <c r="N58" s="21">
        <f>ROUND(L58/首页!$J$19,2)</f>
        <v>7.2</v>
      </c>
      <c r="O58" s="20" t="s">
        <v>1104</v>
      </c>
      <c r="P58" s="21">
        <f>(ROW()-ROW(P$54)+1)*首页!$K$19</f>
        <v>585</v>
      </c>
    </row>
    <row r="59" spans="1:16" outlineLevel="1" x14ac:dyDescent="0.3">
      <c r="A59" s="56">
        <v>6</v>
      </c>
      <c r="B59" s="16" t="s">
        <v>1948</v>
      </c>
      <c r="C59" s="20" t="s">
        <v>875</v>
      </c>
      <c r="D59" s="20" t="s">
        <v>950</v>
      </c>
      <c r="E59" s="59">
        <f>(ROW()-ROW(E$54)+1)*首页!$B$19</f>
        <v>4320</v>
      </c>
      <c r="F59" s="20" t="s">
        <v>2620</v>
      </c>
      <c r="G59" s="21">
        <f>(ROW()-ROW(G$54)+1)*首页!$C$19</f>
        <v>4320</v>
      </c>
      <c r="H59" s="21">
        <f t="shared" si="2"/>
        <v>8640</v>
      </c>
      <c r="I59" s="20" t="s">
        <v>1016</v>
      </c>
      <c r="J59" s="59">
        <f>H59/首页!$E$19</f>
        <v>54</v>
      </c>
      <c r="K59" s="20" t="s">
        <v>1129</v>
      </c>
      <c r="L59" s="21">
        <f>(ROW()-ROW(L$54)+1)*首页!$F$19</f>
        <v>6912</v>
      </c>
      <c r="M59" s="20" t="s">
        <v>1081</v>
      </c>
      <c r="N59" s="21">
        <f>ROUND(L59/首页!$J$19,2)</f>
        <v>8.64</v>
      </c>
      <c r="O59" s="20" t="s">
        <v>1105</v>
      </c>
      <c r="P59" s="21">
        <f>(ROW()-ROW(P$54)+1)*首页!$K$19</f>
        <v>702</v>
      </c>
    </row>
    <row r="60" spans="1:16" outlineLevel="1" x14ac:dyDescent="0.3">
      <c r="A60" s="56">
        <v>7</v>
      </c>
      <c r="B60" s="16" t="s">
        <v>1948</v>
      </c>
      <c r="C60" s="20" t="s">
        <v>876</v>
      </c>
      <c r="D60" s="20" t="s">
        <v>947</v>
      </c>
      <c r="E60" s="59">
        <f>(ROW()-ROW(E$54)+1)*首页!$B$19</f>
        <v>5040</v>
      </c>
      <c r="F60" s="20" t="s">
        <v>2621</v>
      </c>
      <c r="G60" s="21">
        <f>(ROW()-ROW(G$54)+1)*首页!$C$19</f>
        <v>5040</v>
      </c>
      <c r="H60" s="21">
        <f t="shared" si="2"/>
        <v>10080</v>
      </c>
      <c r="I60" s="20" t="s">
        <v>1021</v>
      </c>
      <c r="J60" s="59">
        <f>H60/首页!$E$19</f>
        <v>63</v>
      </c>
      <c r="K60" s="20" t="s">
        <v>1130</v>
      </c>
      <c r="L60" s="21">
        <f>(ROW()-ROW(L$54)+1)*首页!$F$19</f>
        <v>8064</v>
      </c>
      <c r="M60" s="20" t="s">
        <v>1082</v>
      </c>
      <c r="N60" s="21">
        <f>ROUND(L60/首页!$J$19,2)</f>
        <v>10.08</v>
      </c>
      <c r="O60" s="20" t="s">
        <v>1106</v>
      </c>
      <c r="P60" s="21">
        <f>(ROW()-ROW(P$54)+1)*首页!$K$19</f>
        <v>819</v>
      </c>
    </row>
    <row r="61" spans="1:16" outlineLevel="1" x14ac:dyDescent="0.3">
      <c r="A61" s="56">
        <v>8</v>
      </c>
      <c r="B61" s="16" t="s">
        <v>1948</v>
      </c>
      <c r="C61" s="20" t="s">
        <v>877</v>
      </c>
      <c r="D61" s="20" t="s">
        <v>948</v>
      </c>
      <c r="E61" s="59">
        <f>(ROW()-ROW(E$54)+1)*首页!$B$19</f>
        <v>5760</v>
      </c>
      <c r="F61" s="20" t="s">
        <v>2622</v>
      </c>
      <c r="G61" s="21">
        <f>(ROW()-ROW(G$54)+1)*首页!$C$19</f>
        <v>5760</v>
      </c>
      <c r="H61" s="21">
        <f t="shared" si="2"/>
        <v>11520</v>
      </c>
      <c r="I61" s="20" t="s">
        <v>1022</v>
      </c>
      <c r="J61" s="59">
        <f>H61/首页!$E$19</f>
        <v>72</v>
      </c>
      <c r="K61" s="20" t="s">
        <v>1131</v>
      </c>
      <c r="L61" s="21">
        <f>(ROW()-ROW(L$54)+1)*首页!$F$19</f>
        <v>9216</v>
      </c>
      <c r="M61" s="20" t="s">
        <v>1083</v>
      </c>
      <c r="N61" s="21">
        <f>ROUND(L61/首页!$J$19,2)</f>
        <v>11.52</v>
      </c>
      <c r="O61" s="20" t="s">
        <v>1107</v>
      </c>
      <c r="P61" s="21">
        <f>(ROW()-ROW(P$54)+1)*首页!$K$19</f>
        <v>936</v>
      </c>
    </row>
    <row r="62" spans="1:16" outlineLevel="1" x14ac:dyDescent="0.3">
      <c r="A62" s="56">
        <v>9</v>
      </c>
      <c r="B62" s="16" t="s">
        <v>1948</v>
      </c>
      <c r="C62" s="20" t="s">
        <v>878</v>
      </c>
      <c r="D62" s="20" t="s">
        <v>951</v>
      </c>
      <c r="E62" s="59">
        <f>(ROW()-ROW(E$54)+1)*首页!$B$19</f>
        <v>6480</v>
      </c>
      <c r="F62" s="20" t="s">
        <v>2623</v>
      </c>
      <c r="G62" s="21">
        <f>(ROW()-ROW(G$54)+1)*首页!$C$19</f>
        <v>6480</v>
      </c>
      <c r="H62" s="21">
        <f t="shared" si="2"/>
        <v>12960</v>
      </c>
      <c r="I62" s="20" t="s">
        <v>1023</v>
      </c>
      <c r="J62" s="59">
        <f>H62/首页!$E$19</f>
        <v>81</v>
      </c>
      <c r="K62" s="20" t="s">
        <v>1132</v>
      </c>
      <c r="L62" s="21">
        <f>(ROW()-ROW(L$54)+1)*首页!$F$19</f>
        <v>10368</v>
      </c>
      <c r="M62" s="20" t="s">
        <v>1084</v>
      </c>
      <c r="N62" s="21">
        <f>ROUND(L62/首页!$J$19,2)</f>
        <v>12.96</v>
      </c>
      <c r="O62" s="20" t="s">
        <v>1108</v>
      </c>
      <c r="P62" s="21">
        <f>(ROW()-ROW(P$54)+1)*首页!$K$19</f>
        <v>1053</v>
      </c>
    </row>
    <row r="63" spans="1:16" outlineLevel="1" x14ac:dyDescent="0.3">
      <c r="A63" s="56">
        <v>10</v>
      </c>
      <c r="B63" s="16" t="s">
        <v>1948</v>
      </c>
      <c r="C63" s="20" t="s">
        <v>879</v>
      </c>
      <c r="D63" s="20" t="s">
        <v>952</v>
      </c>
      <c r="E63" s="59">
        <f>(ROW()-ROW(E$54)+1)*首页!$B$19</f>
        <v>7200</v>
      </c>
      <c r="F63" s="20" t="s">
        <v>2624</v>
      </c>
      <c r="G63" s="21">
        <f>(ROW()-ROW(G$54)+1)*首页!$C$19</f>
        <v>7200</v>
      </c>
      <c r="H63" s="21">
        <f t="shared" si="2"/>
        <v>14400</v>
      </c>
      <c r="I63" s="20" t="s">
        <v>1024</v>
      </c>
      <c r="J63" s="59">
        <f>H63/首页!$E$19</f>
        <v>90</v>
      </c>
      <c r="K63" s="20" t="s">
        <v>1133</v>
      </c>
      <c r="L63" s="21">
        <f>(ROW()-ROW(L$54)+1)*首页!$F$19</f>
        <v>11520</v>
      </c>
      <c r="M63" s="20" t="s">
        <v>1085</v>
      </c>
      <c r="N63" s="21">
        <f>ROUND(L63/首页!$J$19,2)</f>
        <v>14.4</v>
      </c>
      <c r="O63" s="20" t="s">
        <v>1109</v>
      </c>
      <c r="P63" s="21">
        <f>(ROW()-ROW(P$54)+1)*首页!$K$19</f>
        <v>1170</v>
      </c>
    </row>
    <row r="64" spans="1:16" outlineLevel="1" x14ac:dyDescent="0.3">
      <c r="A64" s="56">
        <v>11</v>
      </c>
      <c r="B64" s="16" t="s">
        <v>1948</v>
      </c>
      <c r="C64" s="20" t="s">
        <v>880</v>
      </c>
      <c r="D64" s="20" t="s">
        <v>953</v>
      </c>
      <c r="E64" s="59">
        <f>(ROW()-ROW(E$54)+1)*首页!$B$19</f>
        <v>7920</v>
      </c>
      <c r="F64" s="20" t="s">
        <v>2625</v>
      </c>
      <c r="G64" s="21">
        <f>(ROW()-ROW(G$54)+1)*首页!$C$19</f>
        <v>7920</v>
      </c>
      <c r="H64" s="21">
        <f t="shared" si="2"/>
        <v>15840</v>
      </c>
      <c r="I64" s="20" t="s">
        <v>1025</v>
      </c>
      <c r="J64" s="59">
        <f>H64/首页!$E$19</f>
        <v>99</v>
      </c>
      <c r="K64" s="20" t="s">
        <v>1134</v>
      </c>
      <c r="L64" s="21">
        <f>(ROW()-ROW(L$54)+1)*首页!$F$19</f>
        <v>12672</v>
      </c>
      <c r="M64" s="20" t="s">
        <v>1086</v>
      </c>
      <c r="N64" s="21">
        <f>ROUND(L64/首页!$J$19,2)</f>
        <v>15.84</v>
      </c>
      <c r="O64" s="20" t="s">
        <v>1110</v>
      </c>
      <c r="P64" s="21">
        <f>(ROW()-ROW(P$54)+1)*首页!$K$19</f>
        <v>1287</v>
      </c>
    </row>
    <row r="65" spans="1:16" outlineLevel="1" x14ac:dyDescent="0.3">
      <c r="A65" s="56">
        <v>12</v>
      </c>
      <c r="B65" s="16" t="s">
        <v>1948</v>
      </c>
      <c r="C65" s="20" t="s">
        <v>881</v>
      </c>
      <c r="D65" s="20" t="s">
        <v>954</v>
      </c>
      <c r="E65" s="59">
        <f>(ROW()-ROW(E$54)+1)*首页!$B$19</f>
        <v>8640</v>
      </c>
      <c r="F65" s="20" t="s">
        <v>2626</v>
      </c>
      <c r="G65" s="21">
        <f>(ROW()-ROW(G$54)+1)*首页!$C$19</f>
        <v>8640</v>
      </c>
      <c r="H65" s="21">
        <f t="shared" si="2"/>
        <v>17280</v>
      </c>
      <c r="I65" s="20" t="s">
        <v>1026</v>
      </c>
      <c r="J65" s="59">
        <f>H65/首页!$E$19</f>
        <v>108</v>
      </c>
      <c r="K65" s="20" t="s">
        <v>1135</v>
      </c>
      <c r="L65" s="21">
        <f>(ROW()-ROW(L$54)+1)*首页!$F$19</f>
        <v>13824</v>
      </c>
      <c r="M65" s="20" t="s">
        <v>1087</v>
      </c>
      <c r="N65" s="21">
        <f>ROUND(L65/首页!$J$19,2)</f>
        <v>17.28</v>
      </c>
      <c r="O65" s="20" t="s">
        <v>1111</v>
      </c>
      <c r="P65" s="21">
        <f>(ROW()-ROW(P$54)+1)*首页!$K$19</f>
        <v>1404</v>
      </c>
    </row>
    <row r="66" spans="1:16" outlineLevel="1" x14ac:dyDescent="0.3">
      <c r="A66" s="56">
        <v>13</v>
      </c>
      <c r="B66" s="16" t="s">
        <v>1948</v>
      </c>
      <c r="C66" s="20" t="s">
        <v>882</v>
      </c>
      <c r="D66" s="20" t="s">
        <v>955</v>
      </c>
      <c r="E66" s="59">
        <f>(ROW()-ROW(E$54)+1)*首页!$B$19</f>
        <v>9360</v>
      </c>
      <c r="F66" s="20" t="s">
        <v>2627</v>
      </c>
      <c r="G66" s="21">
        <f>(ROW()-ROW(G$54)+1)*首页!$C$19</f>
        <v>9360</v>
      </c>
      <c r="H66" s="21">
        <f t="shared" si="2"/>
        <v>18720</v>
      </c>
      <c r="I66" s="20" t="s">
        <v>1027</v>
      </c>
      <c r="J66" s="59">
        <f>H66/首页!$E$19</f>
        <v>117</v>
      </c>
      <c r="K66" s="20" t="s">
        <v>1136</v>
      </c>
      <c r="L66" s="21">
        <f>(ROW()-ROW(L$54)+1)*首页!$F$19</f>
        <v>14976</v>
      </c>
      <c r="M66" s="20" t="s">
        <v>1088</v>
      </c>
      <c r="N66" s="21">
        <f>ROUND(L66/首页!$J$19,2)</f>
        <v>18.72</v>
      </c>
      <c r="O66" s="20" t="s">
        <v>1112</v>
      </c>
      <c r="P66" s="21">
        <f>(ROW()-ROW(P$54)+1)*首页!$K$19</f>
        <v>1521</v>
      </c>
    </row>
    <row r="67" spans="1:16" outlineLevel="1" x14ac:dyDescent="0.3">
      <c r="A67" s="56">
        <v>14</v>
      </c>
      <c r="B67" s="16" t="s">
        <v>1948</v>
      </c>
      <c r="C67" s="20" t="s">
        <v>883</v>
      </c>
      <c r="D67" s="20" t="s">
        <v>956</v>
      </c>
      <c r="E67" s="59">
        <f>(ROW()-ROW(E$54)+1)*首页!$B$19</f>
        <v>10080</v>
      </c>
      <c r="F67" s="20" t="s">
        <v>2628</v>
      </c>
      <c r="G67" s="21">
        <f>(ROW()-ROW(G$54)+1)*首页!$C$19</f>
        <v>10080</v>
      </c>
      <c r="H67" s="21">
        <f t="shared" si="2"/>
        <v>20160</v>
      </c>
      <c r="I67" s="20" t="s">
        <v>1028</v>
      </c>
      <c r="J67" s="59">
        <f>H67/首页!$E$19</f>
        <v>126</v>
      </c>
      <c r="K67" s="20" t="s">
        <v>1137</v>
      </c>
      <c r="L67" s="21">
        <f>(ROW()-ROW(L$54)+1)*首页!$F$19</f>
        <v>16128</v>
      </c>
      <c r="M67" s="20" t="s">
        <v>1089</v>
      </c>
      <c r="N67" s="21">
        <f>ROUND(L67/首页!$J$19,2)</f>
        <v>20.16</v>
      </c>
      <c r="O67" s="20" t="s">
        <v>1113</v>
      </c>
      <c r="P67" s="21">
        <f>(ROW()-ROW(P$54)+1)*首页!$K$19</f>
        <v>1638</v>
      </c>
    </row>
    <row r="68" spans="1:16" outlineLevel="1" x14ac:dyDescent="0.3">
      <c r="A68" s="56">
        <v>15</v>
      </c>
      <c r="B68" s="16" t="s">
        <v>1948</v>
      </c>
      <c r="C68" s="20" t="s">
        <v>884</v>
      </c>
      <c r="D68" s="20" t="s">
        <v>957</v>
      </c>
      <c r="E68" s="59">
        <f>(ROW()-ROW(E$54)+1)*首页!$B$19</f>
        <v>10800</v>
      </c>
      <c r="F68" s="20" t="s">
        <v>2629</v>
      </c>
      <c r="G68" s="21">
        <f>(ROW()-ROW(G$54)+1)*首页!$C$19</f>
        <v>10800</v>
      </c>
      <c r="H68" s="21">
        <f t="shared" si="2"/>
        <v>21600</v>
      </c>
      <c r="I68" s="20" t="s">
        <v>1029</v>
      </c>
      <c r="J68" s="59">
        <f>H68/首页!$E$19</f>
        <v>135</v>
      </c>
      <c r="K68" s="20" t="s">
        <v>1138</v>
      </c>
      <c r="L68" s="21">
        <f>(ROW()-ROW(L$54)+1)*首页!$F$19</f>
        <v>17280</v>
      </c>
      <c r="M68" s="20" t="s">
        <v>1090</v>
      </c>
      <c r="N68" s="21">
        <f>ROUND(L68/首页!$J$19,2)</f>
        <v>21.6</v>
      </c>
      <c r="O68" s="20" t="s">
        <v>1114</v>
      </c>
      <c r="P68" s="21">
        <f>(ROW()-ROW(P$54)+1)*首页!$K$19</f>
        <v>1755</v>
      </c>
    </row>
    <row r="69" spans="1:16" outlineLevel="1" x14ac:dyDescent="0.3">
      <c r="A69" s="56">
        <v>16</v>
      </c>
      <c r="B69" s="16" t="s">
        <v>1948</v>
      </c>
      <c r="C69" s="20" t="s">
        <v>885</v>
      </c>
      <c r="D69" s="20" t="s">
        <v>958</v>
      </c>
      <c r="E69" s="59">
        <f>(ROW()-ROW(E$54)+1)*首页!$B$19</f>
        <v>11520</v>
      </c>
      <c r="F69" s="20" t="s">
        <v>2630</v>
      </c>
      <c r="G69" s="21">
        <f>(ROW()-ROW(G$54)+1)*首页!$C$19</f>
        <v>11520</v>
      </c>
      <c r="H69" s="21">
        <f t="shared" si="2"/>
        <v>23040</v>
      </c>
      <c r="I69" s="20" t="s">
        <v>1030</v>
      </c>
      <c r="J69" s="59">
        <f>H69/首页!$E$19</f>
        <v>144</v>
      </c>
      <c r="K69" s="20" t="s">
        <v>1139</v>
      </c>
      <c r="L69" s="21">
        <f>(ROW()-ROW(L$54)+1)*首页!$F$19</f>
        <v>18432</v>
      </c>
      <c r="M69" s="20" t="s">
        <v>1091</v>
      </c>
      <c r="N69" s="21">
        <f>ROUND(L69/首页!$J$19,2)</f>
        <v>23.04</v>
      </c>
      <c r="O69" s="20" t="s">
        <v>1115</v>
      </c>
      <c r="P69" s="21">
        <f>(ROW()-ROW(P$54)+1)*首页!$K$19</f>
        <v>1872</v>
      </c>
    </row>
    <row r="70" spans="1:16" outlineLevel="1" x14ac:dyDescent="0.3">
      <c r="A70" s="56">
        <v>17</v>
      </c>
      <c r="B70" s="16" t="s">
        <v>1948</v>
      </c>
      <c r="C70" s="20" t="s">
        <v>886</v>
      </c>
      <c r="D70" s="20" t="s">
        <v>959</v>
      </c>
      <c r="E70" s="59">
        <f>(ROW()-ROW(E$54)+1)*首页!$B$19</f>
        <v>12240</v>
      </c>
      <c r="F70" s="20" t="s">
        <v>2631</v>
      </c>
      <c r="G70" s="21">
        <f>(ROW()-ROW(G$54)+1)*首页!$C$19</f>
        <v>12240</v>
      </c>
      <c r="H70" s="21">
        <f t="shared" si="2"/>
        <v>24480</v>
      </c>
      <c r="I70" s="20" t="s">
        <v>1031</v>
      </c>
      <c r="J70" s="59">
        <f>H70/首页!$E$19</f>
        <v>153</v>
      </c>
      <c r="K70" s="20" t="s">
        <v>1140</v>
      </c>
      <c r="L70" s="21">
        <f>(ROW()-ROW(L$54)+1)*首页!$F$19</f>
        <v>19584</v>
      </c>
      <c r="M70" s="20" t="s">
        <v>1092</v>
      </c>
      <c r="N70" s="21">
        <f>ROUND(L70/首页!$J$19,2)</f>
        <v>24.48</v>
      </c>
      <c r="O70" s="20" t="s">
        <v>1116</v>
      </c>
      <c r="P70" s="21">
        <f>(ROW()-ROW(P$54)+1)*首页!$K$19</f>
        <v>1989</v>
      </c>
    </row>
    <row r="71" spans="1:16" outlineLevel="1" x14ac:dyDescent="0.3">
      <c r="A71" s="56">
        <v>18</v>
      </c>
      <c r="B71" s="16" t="s">
        <v>1948</v>
      </c>
      <c r="C71" s="20" t="s">
        <v>887</v>
      </c>
      <c r="D71" s="20" t="s">
        <v>960</v>
      </c>
      <c r="E71" s="59">
        <f>(ROW()-ROW(E$54)+1)*首页!$B$19</f>
        <v>12960</v>
      </c>
      <c r="F71" s="20" t="s">
        <v>2632</v>
      </c>
      <c r="G71" s="21">
        <f>(ROW()-ROW(G$54)+1)*首页!$C$19</f>
        <v>12960</v>
      </c>
      <c r="H71" s="21">
        <f t="shared" si="2"/>
        <v>25920</v>
      </c>
      <c r="I71" s="20" t="s">
        <v>1032</v>
      </c>
      <c r="J71" s="59">
        <f>H71/首页!$E$19</f>
        <v>162</v>
      </c>
      <c r="K71" s="20" t="s">
        <v>1141</v>
      </c>
      <c r="L71" s="21">
        <f>(ROW()-ROW(L$54)+1)*首页!$F$19</f>
        <v>20736</v>
      </c>
      <c r="M71" s="20" t="s">
        <v>1093</v>
      </c>
      <c r="N71" s="21">
        <f>ROUND(L71/首页!$J$19,2)</f>
        <v>25.92</v>
      </c>
      <c r="O71" s="20" t="s">
        <v>1117</v>
      </c>
      <c r="P71" s="21">
        <f>(ROW()-ROW(P$54)+1)*首页!$K$19</f>
        <v>2106</v>
      </c>
    </row>
    <row r="72" spans="1:16" outlineLevel="1" x14ac:dyDescent="0.3">
      <c r="A72" s="56">
        <v>19</v>
      </c>
      <c r="B72" s="16" t="s">
        <v>1948</v>
      </c>
      <c r="C72" s="20" t="s">
        <v>888</v>
      </c>
      <c r="D72" s="20" t="s">
        <v>961</v>
      </c>
      <c r="E72" s="59">
        <f>(ROW()-ROW(E$54)+1)*首页!$B$19</f>
        <v>13680</v>
      </c>
      <c r="F72" s="20" t="s">
        <v>2633</v>
      </c>
      <c r="G72" s="21">
        <f>(ROW()-ROW(G$54)+1)*首页!$C$19</f>
        <v>13680</v>
      </c>
      <c r="H72" s="21">
        <f t="shared" si="2"/>
        <v>27360</v>
      </c>
      <c r="I72" s="20" t="s">
        <v>1033</v>
      </c>
      <c r="J72" s="59">
        <f>H72/首页!$E$19</f>
        <v>171</v>
      </c>
      <c r="K72" s="20" t="s">
        <v>1142</v>
      </c>
      <c r="L72" s="21">
        <f>(ROW()-ROW(L$54)+1)*首页!$F$19</f>
        <v>21888</v>
      </c>
      <c r="M72" s="20" t="s">
        <v>1094</v>
      </c>
      <c r="N72" s="21">
        <f>ROUND(L72/首页!$J$19,2)</f>
        <v>27.36</v>
      </c>
      <c r="O72" s="20" t="s">
        <v>1118</v>
      </c>
      <c r="P72" s="21">
        <f>(ROW()-ROW(P$54)+1)*首页!$K$19</f>
        <v>2223</v>
      </c>
    </row>
    <row r="73" spans="1:16" outlineLevel="1" x14ac:dyDescent="0.3">
      <c r="A73" s="56">
        <v>20</v>
      </c>
      <c r="B73" s="16" t="s">
        <v>1948</v>
      </c>
      <c r="C73" s="20" t="s">
        <v>889</v>
      </c>
      <c r="D73" s="20" t="s">
        <v>962</v>
      </c>
      <c r="E73" s="59">
        <f>(ROW()-ROW(E$54)+1)*首页!$B$19</f>
        <v>14400</v>
      </c>
      <c r="F73" s="20" t="s">
        <v>2634</v>
      </c>
      <c r="G73" s="21">
        <f>(ROW()-ROW(G$54)+1)*首页!$C$19</f>
        <v>14400</v>
      </c>
      <c r="H73" s="21">
        <f t="shared" si="2"/>
        <v>28800</v>
      </c>
      <c r="I73" s="20" t="s">
        <v>1034</v>
      </c>
      <c r="J73" s="59">
        <f>H73/首页!$E$19</f>
        <v>180</v>
      </c>
      <c r="K73" s="20" t="s">
        <v>1143</v>
      </c>
      <c r="L73" s="21">
        <f>(ROW()-ROW(L$54)+1)*首页!$F$19</f>
        <v>23040</v>
      </c>
      <c r="M73" s="20" t="s">
        <v>1095</v>
      </c>
      <c r="N73" s="21">
        <f>ROUND(L73/首页!$J$19,2)</f>
        <v>28.8</v>
      </c>
      <c r="O73" s="20" t="s">
        <v>1119</v>
      </c>
      <c r="P73" s="21">
        <f>(ROW()-ROW(P$54)+1)*首页!$K$19</f>
        <v>2340</v>
      </c>
    </row>
    <row r="74" spans="1:16" outlineLevel="1" x14ac:dyDescent="0.3">
      <c r="A74" s="56">
        <v>21</v>
      </c>
      <c r="B74" s="16" t="s">
        <v>1948</v>
      </c>
      <c r="C74" s="20" t="s">
        <v>890</v>
      </c>
      <c r="D74" s="20" t="s">
        <v>963</v>
      </c>
      <c r="E74" s="59">
        <f>(ROW()-ROW(E$54)+1)*首页!$B$19</f>
        <v>15120</v>
      </c>
      <c r="F74" s="20" t="s">
        <v>2635</v>
      </c>
      <c r="G74" s="21">
        <f>(ROW()-ROW(G$54)+1)*首页!$C$19</f>
        <v>15120</v>
      </c>
      <c r="H74" s="21">
        <f t="shared" si="2"/>
        <v>30240</v>
      </c>
      <c r="I74" s="20" t="s">
        <v>1035</v>
      </c>
      <c r="J74" s="59">
        <f>H74/首页!$E$19</f>
        <v>189</v>
      </c>
      <c r="K74" s="20" t="s">
        <v>1144</v>
      </c>
      <c r="L74" s="21">
        <f>(ROW()-ROW(L$54)+1)*首页!$F$19</f>
        <v>24192</v>
      </c>
      <c r="M74" s="20" t="s">
        <v>1096</v>
      </c>
      <c r="N74" s="21">
        <f>ROUND(L74/首页!$J$19,2)</f>
        <v>30.24</v>
      </c>
      <c r="O74" s="20" t="s">
        <v>1120</v>
      </c>
      <c r="P74" s="21">
        <f>(ROW()-ROW(P$54)+1)*首页!$K$19</f>
        <v>2457</v>
      </c>
    </row>
    <row r="75" spans="1:16" outlineLevel="1" x14ac:dyDescent="0.3">
      <c r="A75" s="56">
        <v>22</v>
      </c>
      <c r="B75" s="16" t="s">
        <v>1948</v>
      </c>
      <c r="C75" s="20" t="s">
        <v>891</v>
      </c>
      <c r="D75" s="20" t="s">
        <v>964</v>
      </c>
      <c r="E75" s="59">
        <f>(ROW()-ROW(E$54)+1)*首页!$B$19</f>
        <v>15840</v>
      </c>
      <c r="F75" s="20" t="s">
        <v>2636</v>
      </c>
      <c r="G75" s="21">
        <f>(ROW()-ROW(G$54)+1)*首页!$C$19</f>
        <v>15840</v>
      </c>
      <c r="H75" s="21">
        <f t="shared" si="2"/>
        <v>31680</v>
      </c>
      <c r="I75" s="20" t="s">
        <v>1036</v>
      </c>
      <c r="J75" s="59">
        <f>H75/首页!$E$19</f>
        <v>198</v>
      </c>
      <c r="K75" s="20" t="s">
        <v>1145</v>
      </c>
      <c r="L75" s="21">
        <f>(ROW()-ROW(L$54)+1)*首页!$F$19</f>
        <v>25344</v>
      </c>
      <c r="M75" s="20" t="s">
        <v>1097</v>
      </c>
      <c r="N75" s="21">
        <f>ROUND(L75/首页!$J$19,2)</f>
        <v>31.68</v>
      </c>
      <c r="O75" s="20" t="s">
        <v>1121</v>
      </c>
      <c r="P75" s="21">
        <f>(ROW()-ROW(P$54)+1)*首页!$K$19</f>
        <v>2574</v>
      </c>
    </row>
    <row r="76" spans="1:16" outlineLevel="1" x14ac:dyDescent="0.3">
      <c r="A76" s="56">
        <v>23</v>
      </c>
      <c r="B76" s="16" t="s">
        <v>1948</v>
      </c>
      <c r="C76" s="20" t="s">
        <v>892</v>
      </c>
      <c r="D76" s="20" t="s">
        <v>965</v>
      </c>
      <c r="E76" s="59">
        <f>(ROW()-ROW(E$54)+1)*首页!$B$19</f>
        <v>16560</v>
      </c>
      <c r="F76" s="20" t="s">
        <v>2637</v>
      </c>
      <c r="G76" s="21">
        <f>(ROW()-ROW(G$54)+1)*首页!$C$19</f>
        <v>16560</v>
      </c>
      <c r="H76" s="21">
        <f t="shared" si="2"/>
        <v>33120</v>
      </c>
      <c r="I76" s="20" t="s">
        <v>1037</v>
      </c>
      <c r="J76" s="59">
        <f>H76/首页!$E$19</f>
        <v>207</v>
      </c>
      <c r="K76" s="20" t="s">
        <v>1146</v>
      </c>
      <c r="L76" s="21">
        <f>(ROW()-ROW(L$54)+1)*首页!$F$19</f>
        <v>26496</v>
      </c>
      <c r="M76" s="20" t="s">
        <v>1098</v>
      </c>
      <c r="N76" s="21">
        <f>ROUND(L76/首页!$J$19,2)</f>
        <v>33.119999999999997</v>
      </c>
      <c r="O76" s="20" t="s">
        <v>1122</v>
      </c>
      <c r="P76" s="21">
        <f>(ROW()-ROW(P$54)+1)*首页!$K$19</f>
        <v>2691</v>
      </c>
    </row>
    <row r="77" spans="1:16" outlineLevel="1" x14ac:dyDescent="0.3">
      <c r="A77" s="56">
        <v>24</v>
      </c>
      <c r="B77" s="16" t="s">
        <v>1948</v>
      </c>
      <c r="C77" s="20" t="s">
        <v>893</v>
      </c>
      <c r="D77" s="20" t="s">
        <v>966</v>
      </c>
      <c r="E77" s="59">
        <f>(ROW()-ROW(E$54)+1)*首页!$B$19</f>
        <v>17280</v>
      </c>
      <c r="F77" s="20" t="s">
        <v>2638</v>
      </c>
      <c r="G77" s="21">
        <f>(ROW()-ROW(G$54)+1)*首页!$C$19</f>
        <v>17280</v>
      </c>
      <c r="H77" s="21">
        <f t="shared" si="2"/>
        <v>34560</v>
      </c>
      <c r="I77" s="20" t="s">
        <v>1038</v>
      </c>
      <c r="J77" s="59">
        <f>H77/首页!$E$19</f>
        <v>216</v>
      </c>
      <c r="K77" s="20" t="s">
        <v>1147</v>
      </c>
      <c r="L77" s="21">
        <f>(ROW()-ROW(L$54)+1)*首页!$F$19</f>
        <v>27648</v>
      </c>
      <c r="M77" s="20" t="s">
        <v>1099</v>
      </c>
      <c r="N77" s="21">
        <f>ROUND(L77/首页!$J$19,2)</f>
        <v>34.56</v>
      </c>
      <c r="O77" s="20" t="s">
        <v>1123</v>
      </c>
      <c r="P77" s="21">
        <f>(ROW()-ROW(P$54)+1)*首页!$K$19</f>
        <v>2808</v>
      </c>
    </row>
    <row r="78" spans="1:16" outlineLevel="1" x14ac:dyDescent="0.3">
      <c r="A78" s="56">
        <v>25</v>
      </c>
      <c r="B78" s="27" t="s">
        <v>1948</v>
      </c>
      <c r="C78" s="28" t="s">
        <v>894</v>
      </c>
      <c r="D78" s="28" t="s">
        <v>967</v>
      </c>
      <c r="E78" s="60">
        <f>(ROW()-ROW(E$54)+1)*首页!$B$19</f>
        <v>18000</v>
      </c>
      <c r="F78" s="28" t="s">
        <v>2639</v>
      </c>
      <c r="G78" s="29">
        <f>(ROW()-ROW(G$54)+1)*首页!$C$19</f>
        <v>18000</v>
      </c>
      <c r="H78" s="29">
        <f t="shared" si="2"/>
        <v>36000</v>
      </c>
      <c r="I78" s="28" t="s">
        <v>1039</v>
      </c>
      <c r="J78" s="60">
        <f>H78/首页!$E$19</f>
        <v>225</v>
      </c>
      <c r="K78" s="28" t="s">
        <v>1148</v>
      </c>
      <c r="L78" s="29">
        <f>(ROW()-ROW(L$54)+1)*首页!$F$19</f>
        <v>28800</v>
      </c>
      <c r="M78" s="28" t="s">
        <v>1100</v>
      </c>
      <c r="N78" s="29">
        <f>ROUND(L78/首页!$J$19,2)</f>
        <v>36</v>
      </c>
      <c r="O78" s="28" t="s">
        <v>1124</v>
      </c>
      <c r="P78" s="29">
        <f>(ROW()-ROW(P$54)+1)*首页!$K$19</f>
        <v>2925</v>
      </c>
    </row>
    <row r="116" spans="3:4" x14ac:dyDescent="0.3">
      <c r="C116" s="181" t="s">
        <v>2194</v>
      </c>
      <c r="D116" s="181"/>
    </row>
    <row r="117" spans="3:4" x14ac:dyDescent="0.3">
      <c r="C117" s="119" t="s">
        <v>1948</v>
      </c>
      <c r="D117" s="118">
        <f>首页!I19</f>
        <v>2592</v>
      </c>
    </row>
    <row r="118" spans="3:4" x14ac:dyDescent="0.3">
      <c r="C118" s="119" t="s">
        <v>1947</v>
      </c>
      <c r="D118" s="118">
        <f>首页!I18</f>
        <v>864</v>
      </c>
    </row>
    <row r="119" spans="3:4" x14ac:dyDescent="0.3">
      <c r="C119" s="119" t="s">
        <v>2070</v>
      </c>
      <c r="D119" s="118">
        <f>首页!$C$17</f>
        <v>80</v>
      </c>
    </row>
    <row r="120" spans="3:4" x14ac:dyDescent="0.3">
      <c r="C120" s="119" t="s">
        <v>2071</v>
      </c>
      <c r="D120" s="118">
        <f>首页!$B$17</f>
        <v>80</v>
      </c>
    </row>
    <row r="121" spans="3:4" x14ac:dyDescent="0.3">
      <c r="C121" s="119" t="s">
        <v>2072</v>
      </c>
      <c r="D121" s="118">
        <f>首页!$F$17</f>
        <v>128</v>
      </c>
    </row>
  </sheetData>
  <sheetProtection sheet="1" objects="1" scenarios="1"/>
  <mergeCells count="1">
    <mergeCell ref="C116:D1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3F26-2386-4BBA-A166-69724FF57B92}">
  <dimension ref="A1:S77"/>
  <sheetViews>
    <sheetView topLeftCell="A64" workbookViewId="0">
      <selection activeCell="F1" sqref="F1:G1048576"/>
    </sheetView>
  </sheetViews>
  <sheetFormatPr defaultRowHeight="14" outlineLevelRow="1" x14ac:dyDescent="0.3"/>
  <cols>
    <col min="1" max="1" width="6.75" customWidth="1"/>
    <col min="2" max="2" width="7.1640625" customWidth="1"/>
    <col min="3" max="3" width="27" customWidth="1"/>
    <col min="4" max="4" width="14" customWidth="1"/>
    <col min="5" max="5" width="7.6640625" customWidth="1"/>
    <col min="6" max="6" width="18.33203125" customWidth="1"/>
    <col min="7" max="7" width="7.9140625" customWidth="1"/>
    <col min="8" max="8" width="8.5" customWidth="1"/>
    <col min="9" max="9" width="27.08203125" customWidth="1"/>
    <col min="10" max="10" width="16.08203125" customWidth="1"/>
    <col min="11" max="11" width="5.6640625" customWidth="1"/>
    <col min="12" max="12" width="18.58203125" customWidth="1"/>
    <col min="13" max="13" width="5.58203125" customWidth="1"/>
    <col min="14" max="14" width="6.83203125" customWidth="1"/>
    <col min="15" max="15" width="25.08203125" customWidth="1"/>
    <col min="16" max="16" width="14.4140625" customWidth="1"/>
    <col min="17" max="17" width="7.08203125" customWidth="1"/>
    <col min="18" max="18" width="17.83203125" customWidth="1"/>
    <col min="19" max="19" width="6.1640625" customWidth="1"/>
  </cols>
  <sheetData>
    <row r="1" spans="1:19" outlineLevel="1" x14ac:dyDescent="0.3">
      <c r="A1" s="56" t="s">
        <v>2059</v>
      </c>
      <c r="B1" s="57" t="s">
        <v>1945</v>
      </c>
      <c r="C1" s="57" t="s">
        <v>148</v>
      </c>
      <c r="D1" s="5" t="s">
        <v>153</v>
      </c>
      <c r="E1" s="6" t="s">
        <v>1944</v>
      </c>
      <c r="F1" s="5" t="s">
        <v>154</v>
      </c>
      <c r="G1" s="6" t="s">
        <v>1944</v>
      </c>
      <c r="N1" s="9" t="s">
        <v>1945</v>
      </c>
      <c r="O1" s="9" t="s">
        <v>150</v>
      </c>
      <c r="P1" s="3" t="s">
        <v>153</v>
      </c>
      <c r="Q1" s="10" t="s">
        <v>1944</v>
      </c>
      <c r="R1" s="3" t="s">
        <v>154</v>
      </c>
      <c r="S1" s="10" t="s">
        <v>1944</v>
      </c>
    </row>
    <row r="2" spans="1:19" outlineLevel="1" x14ac:dyDescent="0.3">
      <c r="A2" s="56">
        <v>2</v>
      </c>
      <c r="B2" s="11" t="s">
        <v>1946</v>
      </c>
      <c r="C2" s="5" t="s">
        <v>76</v>
      </c>
      <c r="D2" s="5" t="s">
        <v>2220</v>
      </c>
      <c r="E2" s="6">
        <f>(ROW()-ROW(E$1)+1)*首页!$B$24</f>
        <v>650</v>
      </c>
      <c r="F2" s="61" t="s">
        <v>1628</v>
      </c>
      <c r="G2" s="6">
        <f>ROUNDUP((ROW()-ROW(G$1)+1)*首页!$C$24*首页!$D$24,0)</f>
        <v>66</v>
      </c>
      <c r="N2" s="16" t="s">
        <v>1948</v>
      </c>
      <c r="O2" s="17" t="s">
        <v>124</v>
      </c>
      <c r="P2" s="18" t="s">
        <v>2244</v>
      </c>
      <c r="Q2" s="19">
        <f>(ROW()-ROW($Q$1)+1)*首页!$B$26</f>
        <v>5850</v>
      </c>
      <c r="R2" s="18" t="s">
        <v>1630</v>
      </c>
      <c r="S2" s="19">
        <f>ROUNDUP((ROW()-ROW($S$1)+1)*首页!$C$26*首页!$D$26,0)</f>
        <v>413</v>
      </c>
    </row>
    <row r="3" spans="1:19" outlineLevel="1" x14ac:dyDescent="0.3">
      <c r="A3" s="56">
        <v>3</v>
      </c>
      <c r="B3" s="11" t="s">
        <v>1946</v>
      </c>
      <c r="C3" s="12" t="s">
        <v>77</v>
      </c>
      <c r="D3" s="12" t="s">
        <v>2221</v>
      </c>
      <c r="E3" s="13">
        <f>(ROW()-ROW(E$1)+1)*首页!$B$24</f>
        <v>975</v>
      </c>
      <c r="F3" s="4" t="s">
        <v>1582</v>
      </c>
      <c r="G3" s="13">
        <f>ROUNDUP((ROW()-ROW(G$1)+1)*首页!$C$24*首页!$D$24,0)</f>
        <v>99</v>
      </c>
      <c r="N3" s="16" t="s">
        <v>1948</v>
      </c>
      <c r="O3" s="16" t="s">
        <v>125</v>
      </c>
      <c r="P3" s="20" t="s">
        <v>2245</v>
      </c>
      <c r="Q3" s="21">
        <f>(ROW()-ROW($Q$1)+1)*首页!$B$26</f>
        <v>8775</v>
      </c>
      <c r="R3" s="20" t="s">
        <v>1631</v>
      </c>
      <c r="S3" s="21">
        <f>ROUNDUP((ROW()-ROW($S$1)+1)*首页!$C$26*首页!$D$26,0)</f>
        <v>620</v>
      </c>
    </row>
    <row r="4" spans="1:19" outlineLevel="1" x14ac:dyDescent="0.3">
      <c r="A4" s="56">
        <v>4</v>
      </c>
      <c r="B4" s="11" t="s">
        <v>1946</v>
      </c>
      <c r="C4" s="12" t="s">
        <v>78</v>
      </c>
      <c r="D4" s="12" t="s">
        <v>2222</v>
      </c>
      <c r="E4" s="13">
        <f>(ROW()-ROW(E$1)+1)*首页!$B$24</f>
        <v>1300</v>
      </c>
      <c r="F4" s="4" t="s">
        <v>1583</v>
      </c>
      <c r="G4" s="13">
        <f>ROUNDUP((ROW()-ROW(G$1)+1)*首页!$C$24*首页!$D$24,0)</f>
        <v>132</v>
      </c>
      <c r="N4" s="16" t="s">
        <v>1948</v>
      </c>
      <c r="O4" s="16" t="s">
        <v>126</v>
      </c>
      <c r="P4" s="20" t="s">
        <v>2246</v>
      </c>
      <c r="Q4" s="21">
        <f>(ROW()-ROW($Q$1)+1)*首页!$B$26</f>
        <v>11700</v>
      </c>
      <c r="R4" s="20" t="s">
        <v>1632</v>
      </c>
      <c r="S4" s="21">
        <f>ROUNDUP((ROW()-ROW($S$1)+1)*首页!$C$26*首页!$D$26,0)</f>
        <v>826</v>
      </c>
    </row>
    <row r="5" spans="1:19" outlineLevel="1" x14ac:dyDescent="0.3">
      <c r="A5" s="56">
        <v>5</v>
      </c>
      <c r="B5" s="11" t="s">
        <v>1946</v>
      </c>
      <c r="C5" s="12" t="s">
        <v>79</v>
      </c>
      <c r="D5" s="12" t="s">
        <v>2223</v>
      </c>
      <c r="E5" s="13">
        <f>(ROW()-ROW(E$1)+1)*首页!$B$24</f>
        <v>1625</v>
      </c>
      <c r="F5" s="4" t="s">
        <v>1584</v>
      </c>
      <c r="G5" s="13">
        <f>ROUNDUP((ROW()-ROW(G$1)+1)*首页!$C$24*首页!$D$24,0)</f>
        <v>164</v>
      </c>
      <c r="N5" s="16" t="s">
        <v>1948</v>
      </c>
      <c r="O5" s="16" t="s">
        <v>127</v>
      </c>
      <c r="P5" s="20" t="s">
        <v>2247</v>
      </c>
      <c r="Q5" s="21">
        <f>(ROW()-ROW($Q$1)+1)*首页!$B$26</f>
        <v>14625</v>
      </c>
      <c r="R5" s="20" t="s">
        <v>1633</v>
      </c>
      <c r="S5" s="21">
        <f>ROUNDUP((ROW()-ROW($S$1)+1)*首页!$C$26*首页!$D$26,0)</f>
        <v>1032</v>
      </c>
    </row>
    <row r="6" spans="1:19" outlineLevel="1" x14ac:dyDescent="0.3">
      <c r="A6" s="56">
        <v>6</v>
      </c>
      <c r="B6" s="11" t="s">
        <v>1946</v>
      </c>
      <c r="C6" s="12" t="s">
        <v>80</v>
      </c>
      <c r="D6" s="12" t="s">
        <v>2224</v>
      </c>
      <c r="E6" s="13">
        <f>(ROW()-ROW(E$1)+1)*首页!$B$24</f>
        <v>1950</v>
      </c>
      <c r="F6" s="4" t="s">
        <v>1585</v>
      </c>
      <c r="G6" s="13">
        <f>ROUNDUP((ROW()-ROW(G$1)+1)*首页!$C$24*首页!$D$24,0)</f>
        <v>197</v>
      </c>
      <c r="N6" s="16" t="s">
        <v>1948</v>
      </c>
      <c r="O6" s="16" t="s">
        <v>128</v>
      </c>
      <c r="P6" s="20" t="s">
        <v>2248</v>
      </c>
      <c r="Q6" s="21">
        <f>(ROW()-ROW($Q$1)+1)*首页!$B$26</f>
        <v>17550</v>
      </c>
      <c r="R6" s="20" t="s">
        <v>1634</v>
      </c>
      <c r="S6" s="21">
        <f>ROUNDUP((ROW()-ROW($S$1)+1)*首页!$C$26*首页!$D$26,0)</f>
        <v>1239</v>
      </c>
    </row>
    <row r="7" spans="1:19" outlineLevel="1" x14ac:dyDescent="0.3">
      <c r="A7" s="56">
        <v>7</v>
      </c>
      <c r="B7" s="11" t="s">
        <v>1946</v>
      </c>
      <c r="C7" s="12" t="s">
        <v>81</v>
      </c>
      <c r="D7" s="12" t="s">
        <v>2225</v>
      </c>
      <c r="E7" s="13">
        <f>(ROW()-ROW(E$1)+1)*首页!$B$24</f>
        <v>2275</v>
      </c>
      <c r="F7" s="4" t="s">
        <v>1586</v>
      </c>
      <c r="G7" s="13">
        <f>ROUNDUP((ROW()-ROW(G$1)+1)*首页!$C$24*首页!$D$24,0)</f>
        <v>230</v>
      </c>
      <c r="N7" s="16" t="s">
        <v>1948</v>
      </c>
      <c r="O7" s="16" t="s">
        <v>129</v>
      </c>
      <c r="P7" s="20" t="s">
        <v>2249</v>
      </c>
      <c r="Q7" s="21">
        <f>(ROW()-ROW($Q$1)+1)*首页!$B$26</f>
        <v>20475</v>
      </c>
      <c r="R7" s="20" t="s">
        <v>1635</v>
      </c>
      <c r="S7" s="21">
        <f>ROUNDUP((ROW()-ROW($S$1)+1)*首页!$C$26*首页!$D$26,0)</f>
        <v>1445</v>
      </c>
    </row>
    <row r="8" spans="1:19" outlineLevel="1" x14ac:dyDescent="0.3">
      <c r="A8" s="56">
        <v>8</v>
      </c>
      <c r="B8" s="11" t="s">
        <v>1946</v>
      </c>
      <c r="C8" s="12" t="s">
        <v>82</v>
      </c>
      <c r="D8" s="12" t="s">
        <v>2226</v>
      </c>
      <c r="E8" s="13">
        <f>(ROW()-ROW(E$1)+1)*首页!$B$24</f>
        <v>2600</v>
      </c>
      <c r="F8" s="4" t="s">
        <v>1587</v>
      </c>
      <c r="G8" s="13">
        <f>ROUNDUP((ROW()-ROW(G$1)+1)*首页!$C$24*首页!$D$24,0)</f>
        <v>263</v>
      </c>
      <c r="N8" s="16" t="s">
        <v>1948</v>
      </c>
      <c r="O8" s="16" t="s">
        <v>130</v>
      </c>
      <c r="P8" s="20" t="s">
        <v>2250</v>
      </c>
      <c r="Q8" s="21">
        <f>(ROW()-ROW($Q$1)+1)*首页!$B$26</f>
        <v>23400</v>
      </c>
      <c r="R8" s="20" t="s">
        <v>1636</v>
      </c>
      <c r="S8" s="21">
        <f>ROUNDUP((ROW()-ROW($S$1)+1)*首页!$C$26*首页!$D$26,0)</f>
        <v>1652</v>
      </c>
    </row>
    <row r="9" spans="1:19" outlineLevel="1" x14ac:dyDescent="0.3">
      <c r="A9" s="56">
        <v>9</v>
      </c>
      <c r="B9" s="11" t="s">
        <v>1946</v>
      </c>
      <c r="C9" s="12" t="s">
        <v>83</v>
      </c>
      <c r="D9" s="12" t="s">
        <v>2227</v>
      </c>
      <c r="E9" s="13">
        <f>(ROW()-ROW(E$1)+1)*首页!$B$24</f>
        <v>2925</v>
      </c>
      <c r="F9" s="4" t="s">
        <v>1588</v>
      </c>
      <c r="G9" s="13">
        <f>ROUNDUP((ROW()-ROW(G$1)+1)*首页!$C$24*首页!$D$24,0)</f>
        <v>296</v>
      </c>
      <c r="N9" s="16" t="s">
        <v>1948</v>
      </c>
      <c r="O9" s="16" t="s">
        <v>131</v>
      </c>
      <c r="P9" s="20" t="s">
        <v>2251</v>
      </c>
      <c r="Q9" s="21">
        <f>(ROW()-ROW($Q$1)+1)*首页!$B$26</f>
        <v>26325</v>
      </c>
      <c r="R9" s="20" t="s">
        <v>1637</v>
      </c>
      <c r="S9" s="21">
        <f>ROUNDUP((ROW()-ROW($S$1)+1)*首页!$C$26*首页!$D$26,0)</f>
        <v>1858</v>
      </c>
    </row>
    <row r="10" spans="1:19" outlineLevel="1" x14ac:dyDescent="0.3">
      <c r="A10" s="56">
        <v>10</v>
      </c>
      <c r="B10" s="11" t="s">
        <v>1946</v>
      </c>
      <c r="C10" s="12" t="s">
        <v>84</v>
      </c>
      <c r="D10" s="12" t="s">
        <v>2228</v>
      </c>
      <c r="E10" s="13">
        <f>(ROW()-ROW(E$1)+1)*首页!$B$24</f>
        <v>3250</v>
      </c>
      <c r="F10" s="4" t="s">
        <v>1589</v>
      </c>
      <c r="G10" s="13">
        <f>ROUNDUP((ROW()-ROW(G$1)+1)*首页!$C$24*首页!$D$24,0)</f>
        <v>328</v>
      </c>
      <c r="N10" s="16" t="s">
        <v>1948</v>
      </c>
      <c r="O10" s="16" t="s">
        <v>132</v>
      </c>
      <c r="P10" s="20" t="s">
        <v>2252</v>
      </c>
      <c r="Q10" s="21">
        <f>(ROW()-ROW($Q$1)+1)*首页!$B$26</f>
        <v>29250</v>
      </c>
      <c r="R10" s="20" t="s">
        <v>1638</v>
      </c>
      <c r="S10" s="21">
        <f>ROUNDUP((ROW()-ROW($S$1)+1)*首页!$C$26*首页!$D$26,0)</f>
        <v>2064</v>
      </c>
    </row>
    <row r="11" spans="1:19" outlineLevel="1" x14ac:dyDescent="0.3">
      <c r="A11" s="56">
        <v>11</v>
      </c>
      <c r="B11" s="11" t="s">
        <v>1946</v>
      </c>
      <c r="C11" s="12" t="s">
        <v>85</v>
      </c>
      <c r="D11" s="12" t="s">
        <v>2229</v>
      </c>
      <c r="E11" s="13">
        <f>(ROW()-ROW(E$1)+1)*首页!$B$24</f>
        <v>3575</v>
      </c>
      <c r="F11" s="4" t="s">
        <v>1590</v>
      </c>
      <c r="G11" s="13">
        <f>ROUNDUP((ROW()-ROW(G$1)+1)*首页!$C$24*首页!$D$24,0)</f>
        <v>361</v>
      </c>
      <c r="N11" s="16" t="s">
        <v>1948</v>
      </c>
      <c r="O11" s="16" t="s">
        <v>133</v>
      </c>
      <c r="P11" s="20" t="s">
        <v>2253</v>
      </c>
      <c r="Q11" s="21">
        <f>(ROW()-ROW($Q$1)+1)*首页!$B$26</f>
        <v>32175</v>
      </c>
      <c r="R11" s="20" t="s">
        <v>1639</v>
      </c>
      <c r="S11" s="21">
        <f>ROUNDUP((ROW()-ROW($S$1)+1)*首页!$C$26*首页!$D$26,0)</f>
        <v>2271</v>
      </c>
    </row>
    <row r="12" spans="1:19" outlineLevel="1" x14ac:dyDescent="0.3">
      <c r="A12" s="56">
        <v>12</v>
      </c>
      <c r="B12" s="11" t="s">
        <v>1946</v>
      </c>
      <c r="C12" s="12" t="s">
        <v>86</v>
      </c>
      <c r="D12" s="12" t="s">
        <v>2230</v>
      </c>
      <c r="E12" s="13">
        <f>(ROW()-ROW(E$1)+1)*首页!$B$24</f>
        <v>3900</v>
      </c>
      <c r="F12" s="4" t="s">
        <v>1591</v>
      </c>
      <c r="G12" s="13">
        <f>ROUNDUP((ROW()-ROW(G$1)+1)*首页!$C$24*首页!$D$24,0)</f>
        <v>394</v>
      </c>
      <c r="N12" s="16" t="s">
        <v>1948</v>
      </c>
      <c r="O12" s="16" t="s">
        <v>134</v>
      </c>
      <c r="P12" s="20" t="s">
        <v>2254</v>
      </c>
      <c r="Q12" s="21">
        <f>(ROW()-ROW($Q$1)+1)*首页!$B$26</f>
        <v>35100</v>
      </c>
      <c r="R12" s="20" t="s">
        <v>1640</v>
      </c>
      <c r="S12" s="21">
        <f>ROUNDUP((ROW()-ROW($S$1)+1)*首页!$C$26*首页!$D$26,0)</f>
        <v>2477</v>
      </c>
    </row>
    <row r="13" spans="1:19" outlineLevel="1" x14ac:dyDescent="0.3">
      <c r="A13" s="56">
        <v>13</v>
      </c>
      <c r="B13" s="11" t="s">
        <v>1946</v>
      </c>
      <c r="C13" s="12" t="s">
        <v>87</v>
      </c>
      <c r="D13" s="12" t="s">
        <v>2231</v>
      </c>
      <c r="E13" s="13">
        <f>(ROW()-ROW(E$1)+1)*首页!$B$24</f>
        <v>4225</v>
      </c>
      <c r="F13" s="4" t="s">
        <v>1592</v>
      </c>
      <c r="G13" s="13">
        <f>ROUNDUP((ROW()-ROW(G$1)+1)*首页!$C$24*首页!$D$24,0)</f>
        <v>427</v>
      </c>
      <c r="N13" s="16" t="s">
        <v>1948</v>
      </c>
      <c r="O13" s="16" t="s">
        <v>135</v>
      </c>
      <c r="P13" s="20" t="s">
        <v>2255</v>
      </c>
      <c r="Q13" s="21">
        <f>(ROW()-ROW($Q$1)+1)*首页!$B$26</f>
        <v>38025</v>
      </c>
      <c r="R13" s="20" t="s">
        <v>1641</v>
      </c>
      <c r="S13" s="21">
        <f>ROUNDUP((ROW()-ROW($S$1)+1)*首页!$C$26*首页!$D$26,0)</f>
        <v>2684</v>
      </c>
    </row>
    <row r="14" spans="1:19" outlineLevel="1" x14ac:dyDescent="0.3">
      <c r="A14" s="56">
        <v>14</v>
      </c>
      <c r="B14" s="11" t="s">
        <v>1946</v>
      </c>
      <c r="C14" s="12" t="s">
        <v>88</v>
      </c>
      <c r="D14" s="12" t="s">
        <v>2232</v>
      </c>
      <c r="E14" s="13">
        <f>(ROW()-ROW(E$1)+1)*首页!$B$24</f>
        <v>4550</v>
      </c>
      <c r="F14" s="4" t="s">
        <v>1593</v>
      </c>
      <c r="G14" s="13">
        <f>ROUNDUP((ROW()-ROW(G$1)+1)*首页!$C$24*首页!$D$24,0)</f>
        <v>460</v>
      </c>
      <c r="N14" s="16" t="s">
        <v>1948</v>
      </c>
      <c r="O14" s="16" t="s">
        <v>136</v>
      </c>
      <c r="P14" s="20" t="s">
        <v>2256</v>
      </c>
      <c r="Q14" s="21">
        <f>(ROW()-ROW($Q$1)+1)*首页!$B$26</f>
        <v>40950</v>
      </c>
      <c r="R14" s="20" t="s">
        <v>1642</v>
      </c>
      <c r="S14" s="21">
        <f>ROUNDUP((ROW()-ROW($S$1)+1)*首页!$C$26*首页!$D$26,0)</f>
        <v>2890</v>
      </c>
    </row>
    <row r="15" spans="1:19" outlineLevel="1" x14ac:dyDescent="0.3">
      <c r="A15" s="56">
        <v>15</v>
      </c>
      <c r="B15" s="11" t="s">
        <v>1946</v>
      </c>
      <c r="C15" s="12" t="s">
        <v>89</v>
      </c>
      <c r="D15" s="12" t="s">
        <v>2233</v>
      </c>
      <c r="E15" s="13">
        <f>(ROW()-ROW(E$1)+1)*首页!$B$24</f>
        <v>4875</v>
      </c>
      <c r="F15" s="4" t="s">
        <v>1594</v>
      </c>
      <c r="G15" s="13">
        <f>ROUNDUP((ROW()-ROW(G$1)+1)*首页!$C$24*首页!$D$24,0)</f>
        <v>492</v>
      </c>
      <c r="N15" s="16" t="s">
        <v>1948</v>
      </c>
      <c r="O15" s="16" t="s">
        <v>137</v>
      </c>
      <c r="P15" s="20" t="s">
        <v>2257</v>
      </c>
      <c r="Q15" s="21">
        <f>(ROW()-ROW($Q$1)+1)*首页!$B$26</f>
        <v>43875</v>
      </c>
      <c r="R15" s="20" t="s">
        <v>1643</v>
      </c>
      <c r="S15" s="21">
        <f>ROUNDUP((ROW()-ROW($S$1)+1)*首页!$C$26*首页!$D$26,0)</f>
        <v>3096</v>
      </c>
    </row>
    <row r="16" spans="1:19" outlineLevel="1" x14ac:dyDescent="0.3">
      <c r="A16" s="56">
        <v>16</v>
      </c>
      <c r="B16" s="11" t="s">
        <v>1946</v>
      </c>
      <c r="C16" s="12" t="s">
        <v>90</v>
      </c>
      <c r="D16" s="12" t="s">
        <v>2234</v>
      </c>
      <c r="E16" s="13">
        <f>(ROW()-ROW(E$1)+1)*首页!$B$24</f>
        <v>5200</v>
      </c>
      <c r="F16" s="4" t="s">
        <v>1595</v>
      </c>
      <c r="G16" s="13">
        <f>ROUNDUP((ROW()-ROW(G$1)+1)*首页!$C$24*首页!$D$24,0)</f>
        <v>525</v>
      </c>
      <c r="N16" s="16" t="s">
        <v>1948</v>
      </c>
      <c r="O16" s="16" t="s">
        <v>138</v>
      </c>
      <c r="P16" s="20" t="s">
        <v>2258</v>
      </c>
      <c r="Q16" s="21">
        <f>(ROW()-ROW($Q$1)+1)*首页!$B$26</f>
        <v>46800</v>
      </c>
      <c r="R16" s="20" t="s">
        <v>1644</v>
      </c>
      <c r="S16" s="21">
        <f>ROUNDUP((ROW()-ROW($S$1)+1)*首页!$C$26*首页!$D$26,0)</f>
        <v>3303</v>
      </c>
    </row>
    <row r="17" spans="1:19" outlineLevel="1" x14ac:dyDescent="0.3">
      <c r="A17" s="56">
        <v>17</v>
      </c>
      <c r="B17" s="11" t="s">
        <v>1946</v>
      </c>
      <c r="C17" s="12" t="s">
        <v>91</v>
      </c>
      <c r="D17" s="12" t="s">
        <v>2235</v>
      </c>
      <c r="E17" s="13">
        <f>(ROW()-ROW(E$1)+1)*首页!$B$24</f>
        <v>5525</v>
      </c>
      <c r="F17" s="4" t="s">
        <v>1596</v>
      </c>
      <c r="G17" s="13">
        <f>ROUNDUP((ROW()-ROW(G$1)+1)*首页!$C$24*首页!$D$24,0)</f>
        <v>558</v>
      </c>
      <c r="N17" s="16" t="s">
        <v>1948</v>
      </c>
      <c r="O17" s="16" t="s">
        <v>139</v>
      </c>
      <c r="P17" s="20" t="s">
        <v>2259</v>
      </c>
      <c r="Q17" s="21">
        <f>(ROW()-ROW($Q$1)+1)*首页!$B$26</f>
        <v>49725</v>
      </c>
      <c r="R17" s="20" t="s">
        <v>1645</v>
      </c>
      <c r="S17" s="21">
        <f>ROUNDUP((ROW()-ROW($S$1)+1)*首页!$C$26*首页!$D$26,0)</f>
        <v>3509</v>
      </c>
    </row>
    <row r="18" spans="1:19" outlineLevel="1" x14ac:dyDescent="0.3">
      <c r="A18" s="56">
        <v>18</v>
      </c>
      <c r="B18" s="11" t="s">
        <v>1946</v>
      </c>
      <c r="C18" s="12" t="s">
        <v>92</v>
      </c>
      <c r="D18" s="12" t="s">
        <v>2236</v>
      </c>
      <c r="E18" s="13">
        <f>(ROW()-ROW(E$1)+1)*首页!$B$24</f>
        <v>5850</v>
      </c>
      <c r="F18" s="4" t="s">
        <v>1597</v>
      </c>
      <c r="G18" s="13">
        <f>ROUNDUP((ROW()-ROW(G$1)+1)*首页!$C$24*首页!$D$24,0)</f>
        <v>591</v>
      </c>
      <c r="N18" s="16" t="s">
        <v>1948</v>
      </c>
      <c r="O18" s="16" t="s">
        <v>140</v>
      </c>
      <c r="P18" s="20" t="s">
        <v>2260</v>
      </c>
      <c r="Q18" s="21">
        <f>(ROW()-ROW($Q$1)+1)*首页!$B$26</f>
        <v>52650</v>
      </c>
      <c r="R18" s="20" t="s">
        <v>1646</v>
      </c>
      <c r="S18" s="21">
        <f>ROUNDUP((ROW()-ROW($S$1)+1)*首页!$C$26*首页!$D$26,0)</f>
        <v>3716</v>
      </c>
    </row>
    <row r="19" spans="1:19" outlineLevel="1" x14ac:dyDescent="0.3">
      <c r="A19" s="56">
        <v>19</v>
      </c>
      <c r="B19" s="11" t="s">
        <v>1946</v>
      </c>
      <c r="C19" s="12" t="s">
        <v>93</v>
      </c>
      <c r="D19" s="12" t="s">
        <v>2237</v>
      </c>
      <c r="E19" s="13">
        <f>(ROW()-ROW(E$1)+1)*首页!$B$24</f>
        <v>6175</v>
      </c>
      <c r="F19" s="4" t="s">
        <v>1598</v>
      </c>
      <c r="G19" s="13">
        <f>ROUNDUP((ROW()-ROW(G$1)+1)*首页!$C$24*首页!$D$24,0)</f>
        <v>624</v>
      </c>
      <c r="N19" s="16" t="s">
        <v>1948</v>
      </c>
      <c r="O19" s="16" t="s">
        <v>141</v>
      </c>
      <c r="P19" s="20" t="s">
        <v>2261</v>
      </c>
      <c r="Q19" s="21">
        <f>(ROW()-ROW($Q$1)+1)*首页!$B$26</f>
        <v>55575</v>
      </c>
      <c r="R19" s="20" t="s">
        <v>1647</v>
      </c>
      <c r="S19" s="21">
        <f>ROUNDUP((ROW()-ROW($S$1)+1)*首页!$C$26*首页!$D$26,0)</f>
        <v>3922</v>
      </c>
    </row>
    <row r="20" spans="1:19" outlineLevel="1" x14ac:dyDescent="0.3">
      <c r="A20" s="56">
        <v>20</v>
      </c>
      <c r="B20" s="11" t="s">
        <v>1946</v>
      </c>
      <c r="C20" s="12" t="s">
        <v>94</v>
      </c>
      <c r="D20" s="12" t="s">
        <v>2238</v>
      </c>
      <c r="E20" s="13">
        <f>(ROW()-ROW(E$1)+1)*首页!$B$24</f>
        <v>6500</v>
      </c>
      <c r="F20" s="4" t="s">
        <v>1599</v>
      </c>
      <c r="G20" s="13">
        <f>ROUNDUP((ROW()-ROW(G$1)+1)*首页!$C$24*首页!$D$24,0)</f>
        <v>656</v>
      </c>
      <c r="N20" s="16" t="s">
        <v>1948</v>
      </c>
      <c r="O20" s="16" t="s">
        <v>142</v>
      </c>
      <c r="P20" s="20" t="s">
        <v>2262</v>
      </c>
      <c r="Q20" s="21">
        <f>(ROW()-ROW($Q$1)+1)*首页!$B$26</f>
        <v>58500</v>
      </c>
      <c r="R20" s="20" t="s">
        <v>1648</v>
      </c>
      <c r="S20" s="21">
        <f>ROUNDUP((ROW()-ROW($S$1)+1)*首页!$C$26*首页!$D$26,0)</f>
        <v>4128</v>
      </c>
    </row>
    <row r="21" spans="1:19" outlineLevel="1" x14ac:dyDescent="0.3">
      <c r="A21" s="56">
        <v>21</v>
      </c>
      <c r="B21" s="11" t="s">
        <v>1946</v>
      </c>
      <c r="C21" s="12" t="s">
        <v>95</v>
      </c>
      <c r="D21" s="12" t="s">
        <v>2239</v>
      </c>
      <c r="E21" s="13">
        <f>(ROW()-ROW(E$1)+1)*首页!$B$24</f>
        <v>6825</v>
      </c>
      <c r="F21" s="4" t="s">
        <v>1600</v>
      </c>
      <c r="G21" s="13">
        <f>ROUNDUP((ROW()-ROW(G$1)+1)*首页!$C$24*首页!$D$24,0)</f>
        <v>689</v>
      </c>
      <c r="N21" s="16" t="s">
        <v>1948</v>
      </c>
      <c r="O21" s="16" t="s">
        <v>143</v>
      </c>
      <c r="P21" s="20" t="s">
        <v>2263</v>
      </c>
      <c r="Q21" s="21">
        <f>(ROW()-ROW($Q$1)+1)*首页!$B$26</f>
        <v>61425</v>
      </c>
      <c r="R21" s="20" t="s">
        <v>1649</v>
      </c>
      <c r="S21" s="21">
        <f>ROUNDUP((ROW()-ROW($S$1)+1)*首页!$C$26*首页!$D$26,0)</f>
        <v>4335</v>
      </c>
    </row>
    <row r="22" spans="1:19" outlineLevel="1" x14ac:dyDescent="0.3">
      <c r="A22" s="56">
        <v>22</v>
      </c>
      <c r="B22" s="11" t="s">
        <v>1946</v>
      </c>
      <c r="C22" s="12" t="s">
        <v>96</v>
      </c>
      <c r="D22" s="12" t="s">
        <v>2240</v>
      </c>
      <c r="E22" s="13">
        <f>(ROW()-ROW(E$1)+1)*首页!$B$24</f>
        <v>7150</v>
      </c>
      <c r="F22" s="4" t="s">
        <v>1601</v>
      </c>
      <c r="G22" s="13">
        <f>ROUNDUP((ROW()-ROW(G$1)+1)*首页!$C$24*首页!$D$24,0)</f>
        <v>722</v>
      </c>
      <c r="N22" s="16" t="s">
        <v>1948</v>
      </c>
      <c r="O22" s="16" t="s">
        <v>144</v>
      </c>
      <c r="P22" s="20" t="s">
        <v>2264</v>
      </c>
      <c r="Q22" s="21">
        <f>(ROW()-ROW($Q$1)+1)*首页!$B$26</f>
        <v>64350</v>
      </c>
      <c r="R22" s="20" t="s">
        <v>1650</v>
      </c>
      <c r="S22" s="21">
        <f>ROUNDUP((ROW()-ROW($S$1)+1)*首页!$C$26*首页!$D$26,0)</f>
        <v>4541</v>
      </c>
    </row>
    <row r="23" spans="1:19" outlineLevel="1" x14ac:dyDescent="0.3">
      <c r="A23" s="56">
        <v>23</v>
      </c>
      <c r="B23" s="11" t="s">
        <v>1946</v>
      </c>
      <c r="C23" s="12" t="s">
        <v>97</v>
      </c>
      <c r="D23" s="12" t="s">
        <v>2241</v>
      </c>
      <c r="E23" s="13">
        <f>(ROW()-ROW(E$1)+1)*首页!$B$24</f>
        <v>7475</v>
      </c>
      <c r="F23" s="4" t="s">
        <v>1602</v>
      </c>
      <c r="G23" s="13">
        <f>ROUNDUP((ROW()-ROW(G$1)+1)*首页!$C$24*首页!$D$24,0)</f>
        <v>755</v>
      </c>
      <c r="N23" s="16" t="s">
        <v>1948</v>
      </c>
      <c r="O23" s="16" t="s">
        <v>145</v>
      </c>
      <c r="P23" s="20" t="s">
        <v>2265</v>
      </c>
      <c r="Q23" s="21">
        <f>(ROW()-ROW($Q$1)+1)*首页!$B$26</f>
        <v>67275</v>
      </c>
      <c r="R23" s="20" t="s">
        <v>1651</v>
      </c>
      <c r="S23" s="21">
        <f>ROUNDUP((ROW()-ROW($S$1)+1)*首页!$C$26*首页!$D$26,0)</f>
        <v>4748</v>
      </c>
    </row>
    <row r="24" spans="1:19" outlineLevel="1" x14ac:dyDescent="0.3">
      <c r="A24" s="56">
        <v>24</v>
      </c>
      <c r="B24" s="11" t="s">
        <v>1946</v>
      </c>
      <c r="C24" s="12" t="s">
        <v>98</v>
      </c>
      <c r="D24" s="12" t="s">
        <v>2242</v>
      </c>
      <c r="E24" s="13">
        <f>(ROW()-ROW(E$1)+1)*首页!$B$24</f>
        <v>7800</v>
      </c>
      <c r="F24" s="4" t="s">
        <v>1603</v>
      </c>
      <c r="G24" s="13">
        <f>ROUNDUP((ROW()-ROW(G$1)+1)*首页!$C$24*首页!$D$24,0)</f>
        <v>788</v>
      </c>
      <c r="N24" s="16" t="s">
        <v>1948</v>
      </c>
      <c r="O24" s="16" t="s">
        <v>146</v>
      </c>
      <c r="P24" s="20" t="s">
        <v>2266</v>
      </c>
      <c r="Q24" s="21">
        <f>(ROW()-ROW($Q$1)+1)*首页!$B$26</f>
        <v>70200</v>
      </c>
      <c r="R24" s="20" t="s">
        <v>1652</v>
      </c>
      <c r="S24" s="21">
        <f>ROUNDUP((ROW()-ROW($S$1)+1)*首页!$C$26*首页!$D$26,0)</f>
        <v>4954</v>
      </c>
    </row>
    <row r="25" spans="1:19" outlineLevel="1" x14ac:dyDescent="0.3">
      <c r="A25" s="56">
        <v>25</v>
      </c>
      <c r="B25" s="22" t="s">
        <v>1946</v>
      </c>
      <c r="C25" s="23" t="s">
        <v>99</v>
      </c>
      <c r="D25" s="23" t="s">
        <v>2243</v>
      </c>
      <c r="E25" s="24">
        <f>(ROW()-ROW(E$1)+1)*首页!$B$24</f>
        <v>8125</v>
      </c>
      <c r="F25" s="47" t="s">
        <v>1629</v>
      </c>
      <c r="G25" s="24">
        <f>ROUNDUP((ROW()-ROW(G$1)+1)*首页!$C$24*首页!$D$24,0)</f>
        <v>820</v>
      </c>
      <c r="N25" s="27" t="s">
        <v>1948</v>
      </c>
      <c r="O25" s="27" t="s">
        <v>147</v>
      </c>
      <c r="P25" s="28" t="s">
        <v>2267</v>
      </c>
      <c r="Q25" s="29">
        <f>(ROW()-ROW($Q$1)+1)*首页!$B$26</f>
        <v>73125</v>
      </c>
      <c r="R25" s="28" t="s">
        <v>1653</v>
      </c>
      <c r="S25" s="29">
        <f>ROUNDUP((ROW()-ROW($S$1)+1)*首页!$C$26*首页!$D$26,0)</f>
        <v>5160</v>
      </c>
    </row>
    <row r="27" spans="1:19" outlineLevel="1" x14ac:dyDescent="0.3">
      <c r="A27" s="56" t="s">
        <v>2059</v>
      </c>
      <c r="B27" s="7" t="s">
        <v>1945</v>
      </c>
      <c r="C27" s="32" t="s">
        <v>149</v>
      </c>
      <c r="D27" s="2" t="s">
        <v>153</v>
      </c>
      <c r="E27" s="8" t="s">
        <v>1944</v>
      </c>
      <c r="F27" s="2" t="s">
        <v>154</v>
      </c>
      <c r="G27" s="8" t="s">
        <v>1944</v>
      </c>
    </row>
    <row r="28" spans="1:19" outlineLevel="1" x14ac:dyDescent="0.3">
      <c r="A28" s="56">
        <v>2</v>
      </c>
      <c r="B28" s="7" t="s">
        <v>1947</v>
      </c>
      <c r="C28" s="2" t="s">
        <v>100</v>
      </c>
      <c r="D28" s="2" t="s">
        <v>2196</v>
      </c>
      <c r="E28" s="8">
        <f>(ROW()-ROW(E$27)+1)*首页!$B$25</f>
        <v>1950</v>
      </c>
      <c r="F28" s="53" t="s">
        <v>1626</v>
      </c>
      <c r="G28" s="8">
        <f>ROUNDUP((ROW()-ROW(G$27)+1)*首页!$C$25*首页!$D$25,0)</f>
        <v>165</v>
      </c>
    </row>
    <row r="29" spans="1:19" outlineLevel="1" x14ac:dyDescent="0.3">
      <c r="A29" s="56">
        <v>3</v>
      </c>
      <c r="B29" s="121" t="s">
        <v>1947</v>
      </c>
      <c r="C29" s="14" t="s">
        <v>101</v>
      </c>
      <c r="D29" s="14" t="s">
        <v>2197</v>
      </c>
      <c r="E29" s="15">
        <f>(ROW()-ROW(E$27)+1)*首页!$B$25</f>
        <v>2925</v>
      </c>
      <c r="F29" s="54" t="s">
        <v>1604</v>
      </c>
      <c r="G29" s="15">
        <f>ROUNDUP((ROW()-ROW(G$27)+1)*首页!$C$25*首页!$D$25,0)</f>
        <v>248</v>
      </c>
    </row>
    <row r="30" spans="1:19" outlineLevel="1" x14ac:dyDescent="0.3">
      <c r="A30" s="56">
        <v>4</v>
      </c>
      <c r="B30" s="121" t="s">
        <v>1947</v>
      </c>
      <c r="C30" s="14" t="s">
        <v>102</v>
      </c>
      <c r="D30" s="14" t="s">
        <v>2198</v>
      </c>
      <c r="E30" s="15">
        <f>(ROW()-ROW(E$27)+1)*首页!$B$25</f>
        <v>3900</v>
      </c>
      <c r="F30" s="54" t="s">
        <v>1605</v>
      </c>
      <c r="G30" s="15">
        <f>ROUNDUP((ROW()-ROW(G$27)+1)*首页!$C$25*首页!$D$25,0)</f>
        <v>330</v>
      </c>
    </row>
    <row r="31" spans="1:19" outlineLevel="1" x14ac:dyDescent="0.3">
      <c r="A31" s="56">
        <v>5</v>
      </c>
      <c r="B31" s="121" t="s">
        <v>1947</v>
      </c>
      <c r="C31" s="14" t="s">
        <v>107</v>
      </c>
      <c r="D31" s="14" t="s">
        <v>2199</v>
      </c>
      <c r="E31" s="15">
        <f>(ROW()-ROW(E$27)+1)*首页!$B$25</f>
        <v>4875</v>
      </c>
      <c r="F31" s="54" t="s">
        <v>1606</v>
      </c>
      <c r="G31" s="15">
        <f>ROUNDUP((ROW()-ROW(G$27)+1)*首页!$C$25*首页!$D$25,0)</f>
        <v>412</v>
      </c>
    </row>
    <row r="32" spans="1:19" outlineLevel="1" x14ac:dyDescent="0.3">
      <c r="A32" s="56">
        <v>6</v>
      </c>
      <c r="B32" s="121" t="s">
        <v>1947</v>
      </c>
      <c r="C32" s="14" t="s">
        <v>103</v>
      </c>
      <c r="D32" s="14" t="s">
        <v>2200</v>
      </c>
      <c r="E32" s="15">
        <f>(ROW()-ROW(E$27)+1)*首页!$B$25</f>
        <v>5850</v>
      </c>
      <c r="F32" s="54" t="s">
        <v>1607</v>
      </c>
      <c r="G32" s="15">
        <f>ROUNDUP((ROW()-ROW(G$27)+1)*首页!$C$25*首页!$D$25,0)</f>
        <v>495</v>
      </c>
    </row>
    <row r="33" spans="1:7" outlineLevel="1" x14ac:dyDescent="0.3">
      <c r="A33" s="56">
        <v>7</v>
      </c>
      <c r="B33" s="121" t="s">
        <v>1947</v>
      </c>
      <c r="C33" s="14" t="s">
        <v>104</v>
      </c>
      <c r="D33" s="14" t="s">
        <v>2201</v>
      </c>
      <c r="E33" s="15">
        <f>(ROW()-ROW(E$27)+1)*首页!$B$25</f>
        <v>6825</v>
      </c>
      <c r="F33" s="54" t="s">
        <v>1608</v>
      </c>
      <c r="G33" s="15">
        <f>ROUNDUP((ROW()-ROW(G$27)+1)*首页!$C$25*首页!$D$25,0)</f>
        <v>577</v>
      </c>
    </row>
    <row r="34" spans="1:7" outlineLevel="1" x14ac:dyDescent="0.3">
      <c r="A34" s="56">
        <v>8</v>
      </c>
      <c r="B34" s="121" t="s">
        <v>1947</v>
      </c>
      <c r="C34" s="14" t="s">
        <v>105</v>
      </c>
      <c r="D34" s="14" t="s">
        <v>2202</v>
      </c>
      <c r="E34" s="15">
        <f>(ROW()-ROW(E$27)+1)*首页!$B$25</f>
        <v>7800</v>
      </c>
      <c r="F34" s="54" t="s">
        <v>1609</v>
      </c>
      <c r="G34" s="15">
        <f>ROUNDUP((ROW()-ROW(G$27)+1)*首页!$C$25*首页!$D$25,0)</f>
        <v>660</v>
      </c>
    </row>
    <row r="35" spans="1:7" outlineLevel="1" x14ac:dyDescent="0.3">
      <c r="A35" s="56">
        <v>9</v>
      </c>
      <c r="B35" s="121" t="s">
        <v>1947</v>
      </c>
      <c r="C35" s="14" t="s">
        <v>106</v>
      </c>
      <c r="D35" s="14" t="s">
        <v>2203</v>
      </c>
      <c r="E35" s="15">
        <f>(ROW()-ROW(E$27)+1)*首页!$B$25</f>
        <v>8775</v>
      </c>
      <c r="F35" s="54" t="s">
        <v>1610</v>
      </c>
      <c r="G35" s="15">
        <f>ROUNDUP((ROW()-ROW(G$27)+1)*首页!$C$25*首页!$D$25,0)</f>
        <v>742</v>
      </c>
    </row>
    <row r="36" spans="1:7" outlineLevel="1" x14ac:dyDescent="0.3">
      <c r="A36" s="56">
        <v>10</v>
      </c>
      <c r="B36" s="121" t="s">
        <v>1947</v>
      </c>
      <c r="C36" s="14" t="s">
        <v>108</v>
      </c>
      <c r="D36" s="14" t="s">
        <v>2204</v>
      </c>
      <c r="E36" s="15">
        <f>(ROW()-ROW(E$27)+1)*首页!$B$25</f>
        <v>9750</v>
      </c>
      <c r="F36" s="54" t="s">
        <v>1611</v>
      </c>
      <c r="G36" s="15">
        <f>ROUNDUP((ROW()-ROW(G$27)+1)*首页!$C$25*首页!$D$25,0)</f>
        <v>824</v>
      </c>
    </row>
    <row r="37" spans="1:7" outlineLevel="1" x14ac:dyDescent="0.3">
      <c r="A37" s="56">
        <v>11</v>
      </c>
      <c r="B37" s="121" t="s">
        <v>1947</v>
      </c>
      <c r="C37" s="14" t="s">
        <v>109</v>
      </c>
      <c r="D37" s="14" t="s">
        <v>2205</v>
      </c>
      <c r="E37" s="15">
        <f>(ROW()-ROW(E$27)+1)*首页!$B$25</f>
        <v>10725</v>
      </c>
      <c r="F37" s="54" t="s">
        <v>1612</v>
      </c>
      <c r="G37" s="15">
        <f>ROUNDUP((ROW()-ROW(G$27)+1)*首页!$C$25*首页!$D$25,0)</f>
        <v>907</v>
      </c>
    </row>
    <row r="38" spans="1:7" outlineLevel="1" x14ac:dyDescent="0.3">
      <c r="A38" s="56">
        <v>12</v>
      </c>
      <c r="B38" s="121" t="s">
        <v>1947</v>
      </c>
      <c r="C38" s="14" t="s">
        <v>110</v>
      </c>
      <c r="D38" s="14" t="s">
        <v>2206</v>
      </c>
      <c r="E38" s="15">
        <f>(ROW()-ROW(E$27)+1)*首页!$B$25</f>
        <v>11700</v>
      </c>
      <c r="F38" s="54" t="s">
        <v>1613</v>
      </c>
      <c r="G38" s="15">
        <f>ROUNDUP((ROW()-ROW(G$27)+1)*首页!$C$25*首页!$D$25,0)</f>
        <v>989</v>
      </c>
    </row>
    <row r="39" spans="1:7" outlineLevel="1" x14ac:dyDescent="0.3">
      <c r="A39" s="56">
        <v>13</v>
      </c>
      <c r="B39" s="121" t="s">
        <v>1947</v>
      </c>
      <c r="C39" s="14" t="s">
        <v>111</v>
      </c>
      <c r="D39" s="14" t="s">
        <v>2207</v>
      </c>
      <c r="E39" s="15">
        <f>(ROW()-ROW(E$27)+1)*首页!$B$25</f>
        <v>12675</v>
      </c>
      <c r="F39" s="54" t="s">
        <v>1614</v>
      </c>
      <c r="G39" s="15">
        <f>ROUNDUP((ROW()-ROW(G$27)+1)*首页!$C$25*首页!$D$25,0)</f>
        <v>1072</v>
      </c>
    </row>
    <row r="40" spans="1:7" outlineLevel="1" x14ac:dyDescent="0.3">
      <c r="A40" s="56">
        <v>14</v>
      </c>
      <c r="B40" s="121" t="s">
        <v>1947</v>
      </c>
      <c r="C40" s="14" t="s">
        <v>112</v>
      </c>
      <c r="D40" s="14" t="s">
        <v>2208</v>
      </c>
      <c r="E40" s="15">
        <f>(ROW()-ROW(E$27)+1)*首页!$B$25</f>
        <v>13650</v>
      </c>
      <c r="F40" s="54" t="s">
        <v>1615</v>
      </c>
      <c r="G40" s="15">
        <f>ROUNDUP((ROW()-ROW(G$27)+1)*首页!$C$25*首页!$D$25,0)</f>
        <v>1154</v>
      </c>
    </row>
    <row r="41" spans="1:7" outlineLevel="1" x14ac:dyDescent="0.3">
      <c r="A41" s="56">
        <v>15</v>
      </c>
      <c r="B41" s="121" t="s">
        <v>1947</v>
      </c>
      <c r="C41" s="14" t="s">
        <v>113</v>
      </c>
      <c r="D41" s="14" t="s">
        <v>2209</v>
      </c>
      <c r="E41" s="15">
        <f>(ROW()-ROW(E$27)+1)*首页!$B$25</f>
        <v>14625</v>
      </c>
      <c r="F41" s="54" t="s">
        <v>1616</v>
      </c>
      <c r="G41" s="15">
        <f>ROUNDUP((ROW()-ROW(G$27)+1)*首页!$C$25*首页!$D$25,0)</f>
        <v>1236</v>
      </c>
    </row>
    <row r="42" spans="1:7" outlineLevel="1" x14ac:dyDescent="0.3">
      <c r="A42" s="56">
        <v>16</v>
      </c>
      <c r="B42" s="121" t="s">
        <v>1947</v>
      </c>
      <c r="C42" s="14" t="s">
        <v>114</v>
      </c>
      <c r="D42" s="14" t="s">
        <v>2210</v>
      </c>
      <c r="E42" s="15">
        <f>(ROW()-ROW(E$27)+1)*首页!$B$25</f>
        <v>15600</v>
      </c>
      <c r="F42" s="54" t="s">
        <v>1617</v>
      </c>
      <c r="G42" s="15">
        <f>ROUNDUP((ROW()-ROW(G$27)+1)*首页!$C$25*首页!$D$25,0)</f>
        <v>1319</v>
      </c>
    </row>
    <row r="43" spans="1:7" outlineLevel="1" x14ac:dyDescent="0.3">
      <c r="A43" s="56">
        <v>17</v>
      </c>
      <c r="B43" s="121" t="s">
        <v>1947</v>
      </c>
      <c r="C43" s="14" t="s">
        <v>115</v>
      </c>
      <c r="D43" s="14" t="s">
        <v>2211</v>
      </c>
      <c r="E43" s="15">
        <f>(ROW()-ROW(E$27)+1)*首页!$B$25</f>
        <v>16575</v>
      </c>
      <c r="F43" s="54" t="s">
        <v>1618</v>
      </c>
      <c r="G43" s="15">
        <f>ROUNDUP((ROW()-ROW(G$27)+1)*首页!$C$25*首页!$D$25,0)</f>
        <v>1401</v>
      </c>
    </row>
    <row r="44" spans="1:7" outlineLevel="1" x14ac:dyDescent="0.3">
      <c r="A44" s="56">
        <v>18</v>
      </c>
      <c r="B44" s="121" t="s">
        <v>1947</v>
      </c>
      <c r="C44" s="14" t="s">
        <v>116</v>
      </c>
      <c r="D44" s="14" t="s">
        <v>2212</v>
      </c>
      <c r="E44" s="15">
        <f>(ROW()-ROW(E$27)+1)*首页!$B$25</f>
        <v>17550</v>
      </c>
      <c r="F44" s="54" t="s">
        <v>1619</v>
      </c>
      <c r="G44" s="15">
        <f>ROUNDUP((ROW()-ROW(G$27)+1)*首页!$C$25*首页!$D$25,0)</f>
        <v>1484</v>
      </c>
    </row>
    <row r="45" spans="1:7" outlineLevel="1" x14ac:dyDescent="0.3">
      <c r="A45" s="56">
        <v>19</v>
      </c>
      <c r="B45" s="121" t="s">
        <v>1947</v>
      </c>
      <c r="C45" s="14" t="s">
        <v>117</v>
      </c>
      <c r="D45" s="14" t="s">
        <v>2213</v>
      </c>
      <c r="E45" s="15">
        <f>(ROW()-ROW(E$27)+1)*首页!$B$25</f>
        <v>18525</v>
      </c>
      <c r="F45" s="54" t="s">
        <v>1620</v>
      </c>
      <c r="G45" s="15">
        <f>ROUNDUP((ROW()-ROW(G$27)+1)*首页!$C$25*首页!$D$25,0)</f>
        <v>1566</v>
      </c>
    </row>
    <row r="46" spans="1:7" outlineLevel="1" x14ac:dyDescent="0.3">
      <c r="A46" s="56">
        <v>20</v>
      </c>
      <c r="B46" s="121" t="s">
        <v>1947</v>
      </c>
      <c r="C46" s="14" t="s">
        <v>118</v>
      </c>
      <c r="D46" s="14" t="s">
        <v>2214</v>
      </c>
      <c r="E46" s="15">
        <f>(ROW()-ROW(E$27)+1)*首页!$B$25</f>
        <v>19500</v>
      </c>
      <c r="F46" s="54" t="s">
        <v>1621</v>
      </c>
      <c r="G46" s="15">
        <f>ROUNDUP((ROW()-ROW(G$27)+1)*首页!$C$25*首页!$D$25,0)</f>
        <v>1648</v>
      </c>
    </row>
    <row r="47" spans="1:7" outlineLevel="1" x14ac:dyDescent="0.3">
      <c r="A47" s="56">
        <v>21</v>
      </c>
      <c r="B47" s="121" t="s">
        <v>1947</v>
      </c>
      <c r="C47" s="14" t="s">
        <v>119</v>
      </c>
      <c r="D47" s="14" t="s">
        <v>2215</v>
      </c>
      <c r="E47" s="15">
        <f>(ROW()-ROW(E$27)+1)*首页!$B$25</f>
        <v>20475</v>
      </c>
      <c r="F47" s="54" t="s">
        <v>1622</v>
      </c>
      <c r="G47" s="15">
        <f>ROUNDUP((ROW()-ROW(G$27)+1)*首页!$C$25*首页!$D$25,0)</f>
        <v>1731</v>
      </c>
    </row>
    <row r="48" spans="1:7" outlineLevel="1" x14ac:dyDescent="0.3">
      <c r="A48" s="56">
        <v>22</v>
      </c>
      <c r="B48" s="121" t="s">
        <v>1947</v>
      </c>
      <c r="C48" s="14" t="s">
        <v>120</v>
      </c>
      <c r="D48" s="14" t="s">
        <v>2216</v>
      </c>
      <c r="E48" s="15">
        <f>(ROW()-ROW(E$27)+1)*首页!$B$25</f>
        <v>21450</v>
      </c>
      <c r="F48" s="54" t="s">
        <v>1623</v>
      </c>
      <c r="G48" s="15">
        <f>ROUNDUP((ROW()-ROW(G$27)+1)*首页!$C$25*首页!$D$25,0)</f>
        <v>1813</v>
      </c>
    </row>
    <row r="49" spans="1:7" outlineLevel="1" x14ac:dyDescent="0.3">
      <c r="A49" s="56">
        <v>23</v>
      </c>
      <c r="B49" s="121" t="s">
        <v>1947</v>
      </c>
      <c r="C49" s="14" t="s">
        <v>121</v>
      </c>
      <c r="D49" s="14" t="s">
        <v>2217</v>
      </c>
      <c r="E49" s="15">
        <f>(ROW()-ROW(E$27)+1)*首页!$B$25</f>
        <v>22425</v>
      </c>
      <c r="F49" s="54" t="s">
        <v>1624</v>
      </c>
      <c r="G49" s="15">
        <f>ROUNDUP((ROW()-ROW(G$27)+1)*首页!$C$25*首页!$D$25,0)</f>
        <v>1896</v>
      </c>
    </row>
    <row r="50" spans="1:7" outlineLevel="1" x14ac:dyDescent="0.3">
      <c r="A50" s="56">
        <v>24</v>
      </c>
      <c r="B50" s="121" t="s">
        <v>1947</v>
      </c>
      <c r="C50" s="14" t="s">
        <v>122</v>
      </c>
      <c r="D50" s="14" t="s">
        <v>2218</v>
      </c>
      <c r="E50" s="15">
        <f>(ROW()-ROW(E$27)+1)*首页!$B$25</f>
        <v>23400</v>
      </c>
      <c r="F50" s="54" t="s">
        <v>1625</v>
      </c>
      <c r="G50" s="15">
        <f>ROUNDUP((ROW()-ROW(G$27)+1)*首页!$C$25*首页!$D$25,0)</f>
        <v>1978</v>
      </c>
    </row>
    <row r="51" spans="1:7" outlineLevel="1" x14ac:dyDescent="0.3">
      <c r="A51" s="56">
        <v>25</v>
      </c>
      <c r="B51" s="122" t="s">
        <v>1947</v>
      </c>
      <c r="C51" s="25" t="s">
        <v>123</v>
      </c>
      <c r="D51" s="25" t="s">
        <v>2219</v>
      </c>
      <c r="E51" s="26">
        <f>(ROW()-ROW(E$27)+1)*首页!$B$25</f>
        <v>24375</v>
      </c>
      <c r="F51" s="55" t="s">
        <v>1627</v>
      </c>
      <c r="G51" s="26">
        <f>ROUNDUP((ROW()-ROW(G$27)+1)*首页!$C$25*首页!$D$25,0)</f>
        <v>2060</v>
      </c>
    </row>
    <row r="53" spans="1:7" outlineLevel="1" x14ac:dyDescent="0.3">
      <c r="A53" s="56" t="s">
        <v>2059</v>
      </c>
      <c r="B53" s="9" t="s">
        <v>1945</v>
      </c>
      <c r="C53" s="9" t="s">
        <v>150</v>
      </c>
      <c r="D53" s="18" t="s">
        <v>153</v>
      </c>
      <c r="E53" s="19" t="s">
        <v>1944</v>
      </c>
      <c r="F53" s="18" t="s">
        <v>154</v>
      </c>
      <c r="G53" s="19" t="s">
        <v>1944</v>
      </c>
    </row>
    <row r="54" spans="1:7" outlineLevel="1" x14ac:dyDescent="0.3">
      <c r="A54" s="56">
        <v>2</v>
      </c>
      <c r="B54" s="16" t="s">
        <v>1948</v>
      </c>
      <c r="C54" s="18" t="s">
        <v>124</v>
      </c>
      <c r="D54" s="18" t="s">
        <v>2244</v>
      </c>
      <c r="E54" s="19">
        <f>(ROW()-ROW(Q$1)+1)*首页!$B$26</f>
        <v>157950</v>
      </c>
      <c r="F54" s="58" t="s">
        <v>1630</v>
      </c>
      <c r="G54" s="19">
        <f>ROUNDUP((ROW()-ROW(S$1)+1)*首页!$C$26*首页!$D$26,0)</f>
        <v>11146</v>
      </c>
    </row>
    <row r="55" spans="1:7" outlineLevel="1" x14ac:dyDescent="0.3">
      <c r="A55" s="56">
        <v>3</v>
      </c>
      <c r="B55" s="16" t="s">
        <v>1948</v>
      </c>
      <c r="C55" s="20" t="s">
        <v>125</v>
      </c>
      <c r="D55" s="20" t="s">
        <v>2245</v>
      </c>
      <c r="E55" s="21">
        <f>(ROW()-ROW(Q$1)+1)*首页!$B$26</f>
        <v>160875</v>
      </c>
      <c r="F55" s="59" t="s">
        <v>1631</v>
      </c>
      <c r="G55" s="21">
        <f>ROUNDUP((ROW()-ROW(S$1)+1)*首页!$C$26*首页!$D$26,0)</f>
        <v>11352</v>
      </c>
    </row>
    <row r="56" spans="1:7" outlineLevel="1" x14ac:dyDescent="0.3">
      <c r="A56" s="56">
        <v>4</v>
      </c>
      <c r="B56" s="16" t="s">
        <v>1948</v>
      </c>
      <c r="C56" s="20" t="s">
        <v>126</v>
      </c>
      <c r="D56" s="20" t="s">
        <v>2246</v>
      </c>
      <c r="E56" s="21">
        <f>(ROW()-ROW(Q$1)+1)*首页!$B$26</f>
        <v>163800</v>
      </c>
      <c r="F56" s="59" t="s">
        <v>1632</v>
      </c>
      <c r="G56" s="21">
        <f>ROUNDUP((ROW()-ROW(S$1)+1)*首页!$C$26*首页!$D$26,0)</f>
        <v>11559</v>
      </c>
    </row>
    <row r="57" spans="1:7" outlineLevel="1" x14ac:dyDescent="0.3">
      <c r="A57" s="56">
        <v>5</v>
      </c>
      <c r="B57" s="16" t="s">
        <v>1948</v>
      </c>
      <c r="C57" s="20" t="s">
        <v>127</v>
      </c>
      <c r="D57" s="20" t="s">
        <v>2247</v>
      </c>
      <c r="E57" s="21">
        <f>(ROW()-ROW(Q$1)+1)*首页!$B$26</f>
        <v>166725</v>
      </c>
      <c r="F57" s="59" t="s">
        <v>1633</v>
      </c>
      <c r="G57" s="21">
        <f>ROUNDUP((ROW()-ROW(S$1)+1)*首页!$C$26*首页!$D$26,0)</f>
        <v>11765</v>
      </c>
    </row>
    <row r="58" spans="1:7" outlineLevel="1" x14ac:dyDescent="0.3">
      <c r="A58" s="56">
        <v>6</v>
      </c>
      <c r="B58" s="16" t="s">
        <v>1948</v>
      </c>
      <c r="C58" s="20" t="s">
        <v>128</v>
      </c>
      <c r="D58" s="20" t="s">
        <v>2248</v>
      </c>
      <c r="E58" s="21">
        <f>(ROW()-ROW(Q$1)+1)*首页!$B$26</f>
        <v>169650</v>
      </c>
      <c r="F58" s="59" t="s">
        <v>1634</v>
      </c>
      <c r="G58" s="21">
        <f>ROUNDUP((ROW()-ROW(S$1)+1)*首页!$C$26*首页!$D$26,0)</f>
        <v>11972</v>
      </c>
    </row>
    <row r="59" spans="1:7" outlineLevel="1" x14ac:dyDescent="0.3">
      <c r="A59" s="56">
        <v>7</v>
      </c>
      <c r="B59" s="16" t="s">
        <v>1948</v>
      </c>
      <c r="C59" s="20" t="s">
        <v>129</v>
      </c>
      <c r="D59" s="20" t="s">
        <v>2249</v>
      </c>
      <c r="E59" s="21">
        <f>(ROW()-ROW(Q$1)+1)*首页!$B$26</f>
        <v>172575</v>
      </c>
      <c r="F59" s="59" t="s">
        <v>1635</v>
      </c>
      <c r="G59" s="21">
        <f>ROUNDUP((ROW()-ROW(S$1)+1)*首页!$C$26*首页!$D$26,0)</f>
        <v>12178</v>
      </c>
    </row>
    <row r="60" spans="1:7" outlineLevel="1" x14ac:dyDescent="0.3">
      <c r="A60" s="56">
        <v>8</v>
      </c>
      <c r="B60" s="16" t="s">
        <v>1948</v>
      </c>
      <c r="C60" s="20" t="s">
        <v>130</v>
      </c>
      <c r="D60" s="20" t="s">
        <v>2250</v>
      </c>
      <c r="E60" s="21">
        <f>(ROW()-ROW(Q$1)+1)*首页!$B$26</f>
        <v>175500</v>
      </c>
      <c r="F60" s="59" t="s">
        <v>1636</v>
      </c>
      <c r="G60" s="21">
        <f>ROUNDUP((ROW()-ROW(S$1)+1)*首页!$C$26*首页!$D$26,0)</f>
        <v>12384</v>
      </c>
    </row>
    <row r="61" spans="1:7" outlineLevel="1" x14ac:dyDescent="0.3">
      <c r="A61" s="56">
        <v>9</v>
      </c>
      <c r="B61" s="16" t="s">
        <v>1948</v>
      </c>
      <c r="C61" s="20" t="s">
        <v>131</v>
      </c>
      <c r="D61" s="20" t="s">
        <v>2251</v>
      </c>
      <c r="E61" s="21">
        <f>(ROW()-ROW(Q$1)+1)*首页!$B$26</f>
        <v>178425</v>
      </c>
      <c r="F61" s="59" t="s">
        <v>1637</v>
      </c>
      <c r="G61" s="21">
        <f>ROUNDUP((ROW()-ROW(S$1)+1)*首页!$C$26*首页!$D$26,0)</f>
        <v>12591</v>
      </c>
    </row>
    <row r="62" spans="1:7" outlineLevel="1" x14ac:dyDescent="0.3">
      <c r="A62" s="56">
        <v>10</v>
      </c>
      <c r="B62" s="16" t="s">
        <v>1948</v>
      </c>
      <c r="C62" s="20" t="s">
        <v>132</v>
      </c>
      <c r="D62" s="20" t="s">
        <v>2252</v>
      </c>
      <c r="E62" s="21">
        <f>(ROW()-ROW(Q$1)+1)*首页!$B$26</f>
        <v>181350</v>
      </c>
      <c r="F62" s="59" t="s">
        <v>1638</v>
      </c>
      <c r="G62" s="21">
        <f>ROUNDUP((ROW()-ROW(S$1)+1)*首页!$C$26*首页!$D$26,0)</f>
        <v>12797</v>
      </c>
    </row>
    <row r="63" spans="1:7" outlineLevel="1" x14ac:dyDescent="0.3">
      <c r="A63" s="56">
        <v>11</v>
      </c>
      <c r="B63" s="16" t="s">
        <v>1948</v>
      </c>
      <c r="C63" s="20" t="s">
        <v>133</v>
      </c>
      <c r="D63" s="20" t="s">
        <v>2253</v>
      </c>
      <c r="E63" s="21">
        <f>(ROW()-ROW(Q$1)+1)*首页!$B$26</f>
        <v>184275</v>
      </c>
      <c r="F63" s="59" t="s">
        <v>1639</v>
      </c>
      <c r="G63" s="21">
        <f>ROUNDUP((ROW()-ROW(S$1)+1)*首页!$C$26*首页!$D$26,0)</f>
        <v>13004</v>
      </c>
    </row>
    <row r="64" spans="1:7" outlineLevel="1" x14ac:dyDescent="0.3">
      <c r="A64" s="56">
        <v>12</v>
      </c>
      <c r="B64" s="16" t="s">
        <v>1948</v>
      </c>
      <c r="C64" s="20" t="s">
        <v>134</v>
      </c>
      <c r="D64" s="20" t="s">
        <v>2254</v>
      </c>
      <c r="E64" s="21">
        <f>(ROW()-ROW(Q$1)+1)*首页!$B$26</f>
        <v>187200</v>
      </c>
      <c r="F64" s="59" t="s">
        <v>1640</v>
      </c>
      <c r="G64" s="21">
        <f>ROUNDUP((ROW()-ROW(S$1)+1)*首页!$C$26*首页!$D$26,0)</f>
        <v>13210</v>
      </c>
    </row>
    <row r="65" spans="1:7" outlineLevel="1" x14ac:dyDescent="0.3">
      <c r="A65" s="56">
        <v>13</v>
      </c>
      <c r="B65" s="16" t="s">
        <v>1948</v>
      </c>
      <c r="C65" s="20" t="s">
        <v>135</v>
      </c>
      <c r="D65" s="20" t="s">
        <v>2255</v>
      </c>
      <c r="E65" s="21">
        <f>(ROW()-ROW(Q$1)+1)*首页!$B$26</f>
        <v>190125</v>
      </c>
      <c r="F65" s="59" t="s">
        <v>1641</v>
      </c>
      <c r="G65" s="21">
        <f>ROUNDUP((ROW()-ROW(S$1)+1)*首页!$C$26*首页!$D$26,0)</f>
        <v>13416</v>
      </c>
    </row>
    <row r="66" spans="1:7" outlineLevel="1" x14ac:dyDescent="0.3">
      <c r="A66" s="56">
        <v>14</v>
      </c>
      <c r="B66" s="16" t="s">
        <v>1948</v>
      </c>
      <c r="C66" s="20" t="s">
        <v>136</v>
      </c>
      <c r="D66" s="20" t="s">
        <v>2256</v>
      </c>
      <c r="E66" s="21">
        <f>(ROW()-ROW(Q$1)+1)*首页!$B$26</f>
        <v>193050</v>
      </c>
      <c r="F66" s="59" t="s">
        <v>1642</v>
      </c>
      <c r="G66" s="21">
        <f>ROUNDUP((ROW()-ROW(S$1)+1)*首页!$C$26*首页!$D$26,0)</f>
        <v>13623</v>
      </c>
    </row>
    <row r="67" spans="1:7" outlineLevel="1" x14ac:dyDescent="0.3">
      <c r="A67" s="56">
        <v>15</v>
      </c>
      <c r="B67" s="16" t="s">
        <v>1948</v>
      </c>
      <c r="C67" s="20" t="s">
        <v>137</v>
      </c>
      <c r="D67" s="20" t="s">
        <v>2257</v>
      </c>
      <c r="E67" s="21">
        <f>(ROW()-ROW(Q$1)+1)*首页!$B$26</f>
        <v>195975</v>
      </c>
      <c r="F67" s="59" t="s">
        <v>1643</v>
      </c>
      <c r="G67" s="21">
        <f>ROUNDUP((ROW()-ROW(S$1)+1)*首页!$C$26*首页!$D$26,0)</f>
        <v>13829</v>
      </c>
    </row>
    <row r="68" spans="1:7" outlineLevel="1" x14ac:dyDescent="0.3">
      <c r="A68" s="56">
        <v>16</v>
      </c>
      <c r="B68" s="16" t="s">
        <v>1948</v>
      </c>
      <c r="C68" s="20" t="s">
        <v>138</v>
      </c>
      <c r="D68" s="20" t="s">
        <v>2258</v>
      </c>
      <c r="E68" s="21">
        <f>(ROW()-ROW(Q$1)+1)*首页!$B$26</f>
        <v>198900</v>
      </c>
      <c r="F68" s="59" t="s">
        <v>1644</v>
      </c>
      <c r="G68" s="21">
        <f>ROUNDUP((ROW()-ROW(S$1)+1)*首页!$C$26*首页!$D$26,0)</f>
        <v>14036</v>
      </c>
    </row>
    <row r="69" spans="1:7" outlineLevel="1" x14ac:dyDescent="0.3">
      <c r="A69" s="56">
        <v>17</v>
      </c>
      <c r="B69" s="16" t="s">
        <v>1948</v>
      </c>
      <c r="C69" s="20" t="s">
        <v>139</v>
      </c>
      <c r="D69" s="20" t="s">
        <v>2259</v>
      </c>
      <c r="E69" s="21">
        <f>(ROW()-ROW(Q$1)+1)*首页!$B$26</f>
        <v>201825</v>
      </c>
      <c r="F69" s="59" t="s">
        <v>1645</v>
      </c>
      <c r="G69" s="21">
        <f>ROUNDUP((ROW()-ROW(S$1)+1)*首页!$C$26*首页!$D$26,0)</f>
        <v>14242</v>
      </c>
    </row>
    <row r="70" spans="1:7" outlineLevel="1" x14ac:dyDescent="0.3">
      <c r="A70" s="56">
        <v>18</v>
      </c>
      <c r="B70" s="16" t="s">
        <v>1948</v>
      </c>
      <c r="C70" s="20" t="s">
        <v>140</v>
      </c>
      <c r="D70" s="20" t="s">
        <v>2260</v>
      </c>
      <c r="E70" s="21">
        <f>(ROW()-ROW(Q$1)+1)*首页!$B$26</f>
        <v>204750</v>
      </c>
      <c r="F70" s="59" t="s">
        <v>1646</v>
      </c>
      <c r="G70" s="21">
        <f>ROUNDUP((ROW()-ROW(S$1)+1)*首页!$C$26*首页!$D$26,0)</f>
        <v>14448</v>
      </c>
    </row>
    <row r="71" spans="1:7" outlineLevel="1" x14ac:dyDescent="0.3">
      <c r="A71" s="56">
        <v>19</v>
      </c>
      <c r="B71" s="16" t="s">
        <v>1948</v>
      </c>
      <c r="C71" s="20" t="s">
        <v>141</v>
      </c>
      <c r="D71" s="20" t="s">
        <v>2261</v>
      </c>
      <c r="E71" s="21">
        <f>(ROW()-ROW(Q$1)+1)*首页!$B$26</f>
        <v>207675</v>
      </c>
      <c r="F71" s="59" t="s">
        <v>1647</v>
      </c>
      <c r="G71" s="21">
        <f>ROUNDUP((ROW()-ROW(S$1)+1)*首页!$C$26*首页!$D$26,0)</f>
        <v>14655</v>
      </c>
    </row>
    <row r="72" spans="1:7" outlineLevel="1" x14ac:dyDescent="0.3">
      <c r="A72" s="56">
        <v>20</v>
      </c>
      <c r="B72" s="16" t="s">
        <v>1948</v>
      </c>
      <c r="C72" s="20" t="s">
        <v>142</v>
      </c>
      <c r="D72" s="20" t="s">
        <v>2262</v>
      </c>
      <c r="E72" s="21">
        <f>(ROW()-ROW(Q$1)+1)*首页!$B$26</f>
        <v>210600</v>
      </c>
      <c r="F72" s="59" t="s">
        <v>1648</v>
      </c>
      <c r="G72" s="21">
        <f>ROUNDUP((ROW()-ROW(S$1)+1)*首页!$C$26*首页!$D$26,0)</f>
        <v>14861</v>
      </c>
    </row>
    <row r="73" spans="1:7" outlineLevel="1" x14ac:dyDescent="0.3">
      <c r="A73" s="56">
        <v>21</v>
      </c>
      <c r="B73" s="16" t="s">
        <v>1948</v>
      </c>
      <c r="C73" s="20" t="s">
        <v>143</v>
      </c>
      <c r="D73" s="20" t="s">
        <v>2263</v>
      </c>
      <c r="E73" s="21">
        <f>(ROW()-ROW(Q$1)+1)*首页!$B$26</f>
        <v>213525</v>
      </c>
      <c r="F73" s="59" t="s">
        <v>1649</v>
      </c>
      <c r="G73" s="21">
        <f>ROUNDUP((ROW()-ROW(S$1)+1)*首页!$C$26*首页!$D$26,0)</f>
        <v>15068</v>
      </c>
    </row>
    <row r="74" spans="1:7" outlineLevel="1" x14ac:dyDescent="0.3">
      <c r="A74" s="56">
        <v>22</v>
      </c>
      <c r="B74" s="16" t="s">
        <v>1948</v>
      </c>
      <c r="C74" s="20" t="s">
        <v>144</v>
      </c>
      <c r="D74" s="20" t="s">
        <v>2264</v>
      </c>
      <c r="E74" s="21">
        <f>(ROW()-ROW(Q$1)+1)*首页!$B$26</f>
        <v>216450</v>
      </c>
      <c r="F74" s="59" t="s">
        <v>1650</v>
      </c>
      <c r="G74" s="21">
        <f>ROUNDUP((ROW()-ROW(S$1)+1)*首页!$C$26*首页!$D$26,0)</f>
        <v>15274</v>
      </c>
    </row>
    <row r="75" spans="1:7" outlineLevel="1" x14ac:dyDescent="0.3">
      <c r="A75" s="56">
        <v>23</v>
      </c>
      <c r="B75" s="16" t="s">
        <v>1948</v>
      </c>
      <c r="C75" s="20" t="s">
        <v>145</v>
      </c>
      <c r="D75" s="20" t="s">
        <v>2265</v>
      </c>
      <c r="E75" s="21">
        <f>(ROW()-ROW(Q$1)+1)*首页!$B$26</f>
        <v>219375</v>
      </c>
      <c r="F75" s="59" t="s">
        <v>1651</v>
      </c>
      <c r="G75" s="21">
        <f>ROUNDUP((ROW()-ROW(S$1)+1)*首页!$C$26*首页!$D$26,0)</f>
        <v>15480</v>
      </c>
    </row>
    <row r="76" spans="1:7" outlineLevel="1" x14ac:dyDescent="0.3">
      <c r="A76" s="56">
        <v>24</v>
      </c>
      <c r="B76" s="16" t="s">
        <v>1948</v>
      </c>
      <c r="C76" s="20" t="s">
        <v>146</v>
      </c>
      <c r="D76" s="20" t="s">
        <v>2266</v>
      </c>
      <c r="E76" s="21">
        <f>(ROW()-ROW(Q$1)+1)*首页!$B$26</f>
        <v>222300</v>
      </c>
      <c r="F76" s="59" t="s">
        <v>1652</v>
      </c>
      <c r="G76" s="21">
        <f>ROUNDUP((ROW()-ROW(S$1)+1)*首页!$C$26*首页!$D$26,0)</f>
        <v>15687</v>
      </c>
    </row>
    <row r="77" spans="1:7" outlineLevel="1" x14ac:dyDescent="0.3">
      <c r="A77" s="56">
        <v>25</v>
      </c>
      <c r="B77" s="27" t="s">
        <v>1948</v>
      </c>
      <c r="C77" s="28" t="s">
        <v>147</v>
      </c>
      <c r="D77" s="28" t="s">
        <v>2267</v>
      </c>
      <c r="E77" s="29">
        <f>(ROW()-ROW(Q$1)+1)*首页!$B$26</f>
        <v>225225</v>
      </c>
      <c r="F77" s="60" t="s">
        <v>1653</v>
      </c>
      <c r="G77" s="29">
        <f>ROUNDUP((ROW()-ROW(S$1)+1)*首页!$C$26*首页!$D$26,0)</f>
        <v>15893</v>
      </c>
    </row>
  </sheetData>
  <sheetProtection sheet="1" objects="1" scenarios="1"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7447-D1E3-4B38-80A3-F998EE97F53E}">
  <dimension ref="A1:M77"/>
  <sheetViews>
    <sheetView topLeftCell="F1" zoomScale="85" zoomScaleNormal="85" workbookViewId="0">
      <selection activeCell="L1" sqref="L1:M1048576"/>
    </sheetView>
  </sheetViews>
  <sheetFormatPr defaultRowHeight="14" outlineLevelRow="1" x14ac:dyDescent="0.3"/>
  <cols>
    <col min="1" max="1" width="6.75" customWidth="1"/>
    <col min="2" max="2" width="7.1640625" customWidth="1"/>
    <col min="3" max="3" width="31.4140625" customWidth="1"/>
    <col min="4" max="4" width="18.25" customWidth="1"/>
    <col min="5" max="5" width="6.83203125" customWidth="1"/>
    <col min="6" max="6" width="23.33203125" customWidth="1"/>
    <col min="7" max="7" width="5.1640625" customWidth="1"/>
    <col min="8" max="8" width="15.5" customWidth="1"/>
    <col min="9" max="9" width="6.6640625" customWidth="1"/>
    <col min="10" max="10" width="21.08203125" customWidth="1"/>
    <col min="11" max="11" width="6.83203125" customWidth="1"/>
    <col min="12" max="12" width="20.4140625" customWidth="1"/>
    <col min="13" max="13" width="7.5" customWidth="1"/>
  </cols>
  <sheetData>
    <row r="1" spans="1:13" outlineLevel="1" x14ac:dyDescent="0.3">
      <c r="A1" s="56" t="s">
        <v>2059</v>
      </c>
      <c r="B1" s="57" t="s">
        <v>1945</v>
      </c>
      <c r="C1" s="57" t="s">
        <v>0</v>
      </c>
      <c r="D1" s="5" t="s">
        <v>153</v>
      </c>
      <c r="E1" s="6" t="s">
        <v>1944</v>
      </c>
      <c r="F1" s="30" t="s">
        <v>871</v>
      </c>
      <c r="G1" s="31" t="s">
        <v>1944</v>
      </c>
      <c r="H1" s="5" t="s">
        <v>895</v>
      </c>
      <c r="I1" s="6" t="s">
        <v>1944</v>
      </c>
      <c r="J1" s="5" t="s">
        <v>154</v>
      </c>
      <c r="K1" s="6" t="s">
        <v>1944</v>
      </c>
      <c r="L1" s="5" t="s">
        <v>1317</v>
      </c>
      <c r="M1" s="6" t="s">
        <v>1944</v>
      </c>
    </row>
    <row r="2" spans="1:13" outlineLevel="1" x14ac:dyDescent="0.3">
      <c r="A2" s="56">
        <v>2</v>
      </c>
      <c r="B2" s="11" t="s">
        <v>1946</v>
      </c>
      <c r="C2" s="5" t="s">
        <v>1293</v>
      </c>
      <c r="D2" s="5" t="s">
        <v>1366</v>
      </c>
      <c r="E2" s="6">
        <f>(ROW()-ROW(E$1)+1)*首页!$B$31</f>
        <v>520</v>
      </c>
      <c r="F2" s="61" t="s">
        <v>1558</v>
      </c>
      <c r="G2" s="61">
        <f>ROUNDUP(E2/首页!$E$31,0)</f>
        <v>3</v>
      </c>
      <c r="H2" s="5" t="s">
        <v>1390</v>
      </c>
      <c r="I2" s="61">
        <f>(ROW()-ROW(I$1)+1)*首页!$F$31</f>
        <v>52</v>
      </c>
      <c r="J2" s="5" t="s">
        <v>2146</v>
      </c>
      <c r="K2" s="61">
        <f>ROUND((ROW()-ROW(K$1)+1)*首页!$G$31*首页!$H$31,0)</f>
        <v>41</v>
      </c>
      <c r="L2" s="5" t="s">
        <v>2170</v>
      </c>
      <c r="M2" s="6">
        <f>ROUND((ROW()-ROW(M$1)+1)*首页!$G$31*首页!$I$31,0)</f>
        <v>41</v>
      </c>
    </row>
    <row r="3" spans="1:13" outlineLevel="1" x14ac:dyDescent="0.3">
      <c r="A3" s="56">
        <v>3</v>
      </c>
      <c r="B3" s="11" t="s">
        <v>1946</v>
      </c>
      <c r="C3" s="12" t="s">
        <v>1294</v>
      </c>
      <c r="D3" s="12" t="s">
        <v>1367</v>
      </c>
      <c r="E3" s="13">
        <f>(ROW()-ROW(E$1)+1)*首页!$B$31</f>
        <v>780</v>
      </c>
      <c r="F3" s="4" t="s">
        <v>1559</v>
      </c>
      <c r="G3" s="4">
        <f>ROUNDUP(E3/首页!$E$31,0)</f>
        <v>4</v>
      </c>
      <c r="H3" s="12" t="s">
        <v>1439</v>
      </c>
      <c r="I3" s="4">
        <f>(ROW()-ROW(I$1)+1)*首页!$F$31</f>
        <v>78</v>
      </c>
      <c r="J3" s="12" t="s">
        <v>2147</v>
      </c>
      <c r="K3" s="4">
        <f>ROUND((ROW()-ROW(K$1)+1)*首页!$G$31*首页!$H$31,0)</f>
        <v>62</v>
      </c>
      <c r="L3" s="12" t="s">
        <v>2171</v>
      </c>
      <c r="M3" s="13">
        <f>ROUND((ROW()-ROW(M$1)+1)*首页!$G$31*首页!$I$31,0)</f>
        <v>62</v>
      </c>
    </row>
    <row r="4" spans="1:13" outlineLevel="1" x14ac:dyDescent="0.3">
      <c r="A4" s="56">
        <v>4</v>
      </c>
      <c r="B4" s="11" t="s">
        <v>1946</v>
      </c>
      <c r="C4" s="12" t="s">
        <v>1295</v>
      </c>
      <c r="D4" s="12" t="s">
        <v>1368</v>
      </c>
      <c r="E4" s="13">
        <f>(ROW()-ROW(E$1)+1)*首页!$B$31</f>
        <v>1040</v>
      </c>
      <c r="F4" s="4" t="s">
        <v>1560</v>
      </c>
      <c r="G4" s="4">
        <f>ROUNDUP(E4/首页!$E$31,0)</f>
        <v>6</v>
      </c>
      <c r="H4" s="12" t="s">
        <v>1440</v>
      </c>
      <c r="I4" s="4">
        <f>(ROW()-ROW(I$1)+1)*首页!$F$31</f>
        <v>104</v>
      </c>
      <c r="J4" s="12" t="s">
        <v>2148</v>
      </c>
      <c r="K4" s="4">
        <f>ROUND((ROW()-ROW(K$1)+1)*首页!$G$31*首页!$H$31,0)</f>
        <v>82</v>
      </c>
      <c r="L4" s="12" t="s">
        <v>2172</v>
      </c>
      <c r="M4" s="13">
        <f>ROUND((ROW()-ROW(M$1)+1)*首页!$G$31*首页!$I$31,0)</f>
        <v>82</v>
      </c>
    </row>
    <row r="5" spans="1:13" outlineLevel="1" x14ac:dyDescent="0.3">
      <c r="A5" s="56">
        <v>5</v>
      </c>
      <c r="B5" s="11" t="s">
        <v>1946</v>
      </c>
      <c r="C5" s="12" t="s">
        <v>1296</v>
      </c>
      <c r="D5" s="12" t="s">
        <v>1369</v>
      </c>
      <c r="E5" s="13">
        <f>(ROW()-ROW(E$1)+1)*首页!$B$31</f>
        <v>1300</v>
      </c>
      <c r="F5" s="4" t="s">
        <v>1561</v>
      </c>
      <c r="G5" s="4">
        <f>ROUNDUP(E5/首页!$E$31,0)</f>
        <v>7</v>
      </c>
      <c r="H5" s="12" t="s">
        <v>1441</v>
      </c>
      <c r="I5" s="4">
        <f>(ROW()-ROW(I$1)+1)*首页!$F$31</f>
        <v>130</v>
      </c>
      <c r="J5" s="12" t="s">
        <v>2149</v>
      </c>
      <c r="K5" s="4">
        <f>ROUND((ROW()-ROW(K$1)+1)*首页!$G$31*首页!$H$31,0)</f>
        <v>103</v>
      </c>
      <c r="L5" s="12" t="s">
        <v>2173</v>
      </c>
      <c r="M5" s="13">
        <f>ROUND((ROW()-ROW(M$1)+1)*首页!$G$31*首页!$I$31,0)</f>
        <v>103</v>
      </c>
    </row>
    <row r="6" spans="1:13" outlineLevel="1" x14ac:dyDescent="0.3">
      <c r="A6" s="56">
        <v>6</v>
      </c>
      <c r="B6" s="11" t="s">
        <v>1946</v>
      </c>
      <c r="C6" s="12" t="s">
        <v>1297</v>
      </c>
      <c r="D6" s="12" t="s">
        <v>1370</v>
      </c>
      <c r="E6" s="13">
        <f>(ROW()-ROW(E$1)+1)*首页!$B$31</f>
        <v>1560</v>
      </c>
      <c r="F6" s="4" t="s">
        <v>1562</v>
      </c>
      <c r="G6" s="4">
        <f>ROUNDUP(E6/首页!$E$31,0)</f>
        <v>8</v>
      </c>
      <c r="H6" s="12" t="s">
        <v>1442</v>
      </c>
      <c r="I6" s="4">
        <f>(ROW()-ROW(I$1)+1)*首页!$F$31</f>
        <v>156</v>
      </c>
      <c r="J6" s="12" t="s">
        <v>2150</v>
      </c>
      <c r="K6" s="4">
        <f>ROUND((ROW()-ROW(K$1)+1)*首页!$G$31*首页!$H$31,0)</f>
        <v>123</v>
      </c>
      <c r="L6" s="12" t="s">
        <v>2174</v>
      </c>
      <c r="M6" s="13">
        <f>ROUND((ROW()-ROW(M$1)+1)*首页!$G$31*首页!$I$31,0)</f>
        <v>123</v>
      </c>
    </row>
    <row r="7" spans="1:13" outlineLevel="1" x14ac:dyDescent="0.3">
      <c r="A7" s="56">
        <v>7</v>
      </c>
      <c r="B7" s="11" t="s">
        <v>1946</v>
      </c>
      <c r="C7" s="12" t="s">
        <v>1298</v>
      </c>
      <c r="D7" s="12" t="s">
        <v>1371</v>
      </c>
      <c r="E7" s="13">
        <f>(ROW()-ROW(E$1)+1)*首页!$B$31</f>
        <v>1820</v>
      </c>
      <c r="F7" s="4" t="s">
        <v>1563</v>
      </c>
      <c r="G7" s="4">
        <f>ROUNDUP(E7/首页!$E$31,0)</f>
        <v>10</v>
      </c>
      <c r="H7" s="12" t="s">
        <v>1443</v>
      </c>
      <c r="I7" s="4">
        <f>(ROW()-ROW(I$1)+1)*首页!$F$31</f>
        <v>182</v>
      </c>
      <c r="J7" s="12" t="s">
        <v>2151</v>
      </c>
      <c r="K7" s="4">
        <f>ROUND((ROW()-ROW(K$1)+1)*首页!$G$31*首页!$H$31,0)</f>
        <v>144</v>
      </c>
      <c r="L7" s="12" t="s">
        <v>2175</v>
      </c>
      <c r="M7" s="13">
        <f>ROUND((ROW()-ROW(M$1)+1)*首页!$G$31*首页!$I$31,0)</f>
        <v>144</v>
      </c>
    </row>
    <row r="8" spans="1:13" outlineLevel="1" x14ac:dyDescent="0.3">
      <c r="A8" s="56">
        <v>8</v>
      </c>
      <c r="B8" s="11" t="s">
        <v>1946</v>
      </c>
      <c r="C8" s="12" t="s">
        <v>1299</v>
      </c>
      <c r="D8" s="12" t="s">
        <v>1372</v>
      </c>
      <c r="E8" s="13">
        <f>(ROW()-ROW(E$1)+1)*首页!$B$31</f>
        <v>2080</v>
      </c>
      <c r="F8" s="4" t="s">
        <v>1564</v>
      </c>
      <c r="G8" s="4">
        <f>ROUNDUP(E8/首页!$E$31,0)</f>
        <v>11</v>
      </c>
      <c r="H8" s="12" t="s">
        <v>1444</v>
      </c>
      <c r="I8" s="4">
        <f>(ROW()-ROW(I$1)+1)*首页!$F$31</f>
        <v>208</v>
      </c>
      <c r="J8" s="12" t="s">
        <v>2152</v>
      </c>
      <c r="K8" s="4">
        <f>ROUND((ROW()-ROW(K$1)+1)*首页!$G$31*首页!$H$31,0)</f>
        <v>164</v>
      </c>
      <c r="L8" s="12" t="s">
        <v>2176</v>
      </c>
      <c r="M8" s="13">
        <f>ROUND((ROW()-ROW(M$1)+1)*首页!$G$31*首页!$I$31,0)</f>
        <v>164</v>
      </c>
    </row>
    <row r="9" spans="1:13" outlineLevel="1" x14ac:dyDescent="0.3">
      <c r="A9" s="56">
        <v>9</v>
      </c>
      <c r="B9" s="11" t="s">
        <v>1946</v>
      </c>
      <c r="C9" s="12" t="s">
        <v>1300</v>
      </c>
      <c r="D9" s="12" t="s">
        <v>1373</v>
      </c>
      <c r="E9" s="13">
        <f>(ROW()-ROW(E$1)+1)*首页!$B$31</f>
        <v>2340</v>
      </c>
      <c r="F9" s="4" t="s">
        <v>1565</v>
      </c>
      <c r="G9" s="4">
        <f>ROUNDUP(E9/首页!$E$31,0)</f>
        <v>12</v>
      </c>
      <c r="H9" s="12" t="s">
        <v>1445</v>
      </c>
      <c r="I9" s="4">
        <f>(ROW()-ROW(I$1)+1)*首页!$F$31</f>
        <v>234</v>
      </c>
      <c r="J9" s="12" t="s">
        <v>2153</v>
      </c>
      <c r="K9" s="4">
        <f>ROUND((ROW()-ROW(K$1)+1)*首页!$G$31*首页!$H$31,0)</f>
        <v>185</v>
      </c>
      <c r="L9" s="12" t="s">
        <v>2177</v>
      </c>
      <c r="M9" s="13">
        <f>ROUND((ROW()-ROW(M$1)+1)*首页!$G$31*首页!$I$31,0)</f>
        <v>185</v>
      </c>
    </row>
    <row r="10" spans="1:13" outlineLevel="1" x14ac:dyDescent="0.3">
      <c r="A10" s="56">
        <v>10</v>
      </c>
      <c r="B10" s="11" t="s">
        <v>1946</v>
      </c>
      <c r="C10" s="12" t="s">
        <v>1301</v>
      </c>
      <c r="D10" s="12" t="s">
        <v>1374</v>
      </c>
      <c r="E10" s="13">
        <f>(ROW()-ROW(E$1)+1)*首页!$B$31</f>
        <v>2600</v>
      </c>
      <c r="F10" s="4" t="s">
        <v>1566</v>
      </c>
      <c r="G10" s="4">
        <f>ROUNDUP(E10/首页!$E$31,0)</f>
        <v>13</v>
      </c>
      <c r="H10" s="12" t="s">
        <v>1446</v>
      </c>
      <c r="I10" s="4">
        <f>(ROW()-ROW(I$1)+1)*首页!$F$31</f>
        <v>260</v>
      </c>
      <c r="J10" s="12" t="s">
        <v>2154</v>
      </c>
      <c r="K10" s="4">
        <f>ROUND((ROW()-ROW(K$1)+1)*首页!$G$31*首页!$H$31,0)</f>
        <v>205</v>
      </c>
      <c r="L10" s="12" t="s">
        <v>2178</v>
      </c>
      <c r="M10" s="13">
        <f>ROUND((ROW()-ROW(M$1)+1)*首页!$G$31*首页!$I$31,0)</f>
        <v>205</v>
      </c>
    </row>
    <row r="11" spans="1:13" outlineLevel="1" x14ac:dyDescent="0.3">
      <c r="A11" s="56">
        <v>11</v>
      </c>
      <c r="B11" s="11" t="s">
        <v>1946</v>
      </c>
      <c r="C11" s="12" t="s">
        <v>1302</v>
      </c>
      <c r="D11" s="12" t="s">
        <v>1375</v>
      </c>
      <c r="E11" s="13">
        <f>(ROW()-ROW(E$1)+1)*首页!$B$31</f>
        <v>2860</v>
      </c>
      <c r="F11" s="4" t="s">
        <v>1567</v>
      </c>
      <c r="G11" s="4">
        <f>ROUNDUP(E11/首页!$E$31,0)</f>
        <v>15</v>
      </c>
      <c r="H11" s="12" t="s">
        <v>1447</v>
      </c>
      <c r="I11" s="4">
        <f>(ROW()-ROW(I$1)+1)*首页!$F$31</f>
        <v>286</v>
      </c>
      <c r="J11" s="12" t="s">
        <v>2155</v>
      </c>
      <c r="K11" s="4">
        <f>ROUND((ROW()-ROW(K$1)+1)*首页!$G$31*首页!$H$31,0)</f>
        <v>226</v>
      </c>
      <c r="L11" s="12" t="s">
        <v>2179</v>
      </c>
      <c r="M11" s="13">
        <f>ROUND((ROW()-ROW(M$1)+1)*首页!$G$31*首页!$I$31,0)</f>
        <v>226</v>
      </c>
    </row>
    <row r="12" spans="1:13" outlineLevel="1" x14ac:dyDescent="0.3">
      <c r="A12" s="56">
        <v>12</v>
      </c>
      <c r="B12" s="11" t="s">
        <v>1946</v>
      </c>
      <c r="C12" s="12" t="s">
        <v>1303</v>
      </c>
      <c r="D12" s="12" t="s">
        <v>1376</v>
      </c>
      <c r="E12" s="13">
        <f>(ROW()-ROW(E$1)+1)*首页!$B$31</f>
        <v>3120</v>
      </c>
      <c r="F12" s="4" t="s">
        <v>1568</v>
      </c>
      <c r="G12" s="4">
        <f>ROUNDUP(E12/首页!$E$31,0)</f>
        <v>16</v>
      </c>
      <c r="H12" s="12" t="s">
        <v>1448</v>
      </c>
      <c r="I12" s="4">
        <f>(ROW()-ROW(I$1)+1)*首页!$F$31</f>
        <v>312</v>
      </c>
      <c r="J12" s="12" t="s">
        <v>2156</v>
      </c>
      <c r="K12" s="4">
        <f>ROUND((ROW()-ROW(K$1)+1)*首页!$G$31*首页!$H$31,0)</f>
        <v>246</v>
      </c>
      <c r="L12" s="12" t="s">
        <v>2180</v>
      </c>
      <c r="M12" s="13">
        <f>ROUND((ROW()-ROW(M$1)+1)*首页!$G$31*首页!$I$31,0)</f>
        <v>246</v>
      </c>
    </row>
    <row r="13" spans="1:13" outlineLevel="1" x14ac:dyDescent="0.3">
      <c r="A13" s="56">
        <v>13</v>
      </c>
      <c r="B13" s="11" t="s">
        <v>1946</v>
      </c>
      <c r="C13" s="12" t="s">
        <v>1304</v>
      </c>
      <c r="D13" s="12" t="s">
        <v>1377</v>
      </c>
      <c r="E13" s="13">
        <f>(ROW()-ROW(E$1)+1)*首页!$B$31</f>
        <v>3380</v>
      </c>
      <c r="F13" s="4" t="s">
        <v>1569</v>
      </c>
      <c r="G13" s="4">
        <f>ROUNDUP(E13/首页!$E$31,0)</f>
        <v>17</v>
      </c>
      <c r="H13" s="12" t="s">
        <v>1449</v>
      </c>
      <c r="I13" s="4">
        <f>(ROW()-ROW(I$1)+1)*首页!$F$31</f>
        <v>338</v>
      </c>
      <c r="J13" s="12" t="s">
        <v>2157</v>
      </c>
      <c r="K13" s="4">
        <f>ROUND((ROW()-ROW(K$1)+1)*首页!$G$31*首页!$H$31,0)</f>
        <v>267</v>
      </c>
      <c r="L13" s="12" t="s">
        <v>2181</v>
      </c>
      <c r="M13" s="13">
        <f>ROUND((ROW()-ROW(M$1)+1)*首页!$G$31*首页!$I$31,0)</f>
        <v>267</v>
      </c>
    </row>
    <row r="14" spans="1:13" outlineLevel="1" x14ac:dyDescent="0.3">
      <c r="A14" s="56">
        <v>14</v>
      </c>
      <c r="B14" s="11" t="s">
        <v>1946</v>
      </c>
      <c r="C14" s="12" t="s">
        <v>1305</v>
      </c>
      <c r="D14" s="12" t="s">
        <v>1378</v>
      </c>
      <c r="E14" s="13">
        <f>(ROW()-ROW(E$1)+1)*首页!$B$31</f>
        <v>3640</v>
      </c>
      <c r="F14" s="4" t="s">
        <v>1570</v>
      </c>
      <c r="G14" s="4">
        <f>ROUNDUP(E14/首页!$E$31,0)</f>
        <v>19</v>
      </c>
      <c r="H14" s="12" t="s">
        <v>1450</v>
      </c>
      <c r="I14" s="4">
        <f>(ROW()-ROW(I$1)+1)*首页!$F$31</f>
        <v>364</v>
      </c>
      <c r="J14" s="12" t="s">
        <v>2158</v>
      </c>
      <c r="K14" s="4">
        <f>ROUND((ROW()-ROW(K$1)+1)*首页!$G$31*首页!$H$31,0)</f>
        <v>287</v>
      </c>
      <c r="L14" s="12" t="s">
        <v>2182</v>
      </c>
      <c r="M14" s="13">
        <f>ROUND((ROW()-ROW(M$1)+1)*首页!$G$31*首页!$I$31,0)</f>
        <v>287</v>
      </c>
    </row>
    <row r="15" spans="1:13" outlineLevel="1" x14ac:dyDescent="0.3">
      <c r="A15" s="56">
        <v>15</v>
      </c>
      <c r="B15" s="11" t="s">
        <v>1946</v>
      </c>
      <c r="C15" s="12" t="s">
        <v>1306</v>
      </c>
      <c r="D15" s="12" t="s">
        <v>1379</v>
      </c>
      <c r="E15" s="13">
        <f>(ROW()-ROW(E$1)+1)*首页!$B$31</f>
        <v>3900</v>
      </c>
      <c r="F15" s="4" t="s">
        <v>1571</v>
      </c>
      <c r="G15" s="4">
        <f>ROUNDUP(E15/首页!$E$31,0)</f>
        <v>20</v>
      </c>
      <c r="H15" s="12" t="s">
        <v>1451</v>
      </c>
      <c r="I15" s="4">
        <f>(ROW()-ROW(I$1)+1)*首页!$F$31</f>
        <v>390</v>
      </c>
      <c r="J15" s="12" t="s">
        <v>2159</v>
      </c>
      <c r="K15" s="4">
        <f>ROUND((ROW()-ROW(K$1)+1)*首页!$G$31*首页!$H$31,0)</f>
        <v>308</v>
      </c>
      <c r="L15" s="12" t="s">
        <v>2183</v>
      </c>
      <c r="M15" s="13">
        <f>ROUND((ROW()-ROW(M$1)+1)*首页!$G$31*首页!$I$31,0)</f>
        <v>308</v>
      </c>
    </row>
    <row r="16" spans="1:13" outlineLevel="1" x14ac:dyDescent="0.3">
      <c r="A16" s="56">
        <v>16</v>
      </c>
      <c r="B16" s="11" t="s">
        <v>1946</v>
      </c>
      <c r="C16" s="12" t="s">
        <v>1307</v>
      </c>
      <c r="D16" s="12" t="s">
        <v>1380</v>
      </c>
      <c r="E16" s="13">
        <f>(ROW()-ROW(E$1)+1)*首页!$B$31</f>
        <v>4160</v>
      </c>
      <c r="F16" s="4" t="s">
        <v>1572</v>
      </c>
      <c r="G16" s="4">
        <f>ROUNDUP(E16/首页!$E$31,0)</f>
        <v>21</v>
      </c>
      <c r="H16" s="12" t="s">
        <v>1452</v>
      </c>
      <c r="I16" s="4">
        <f>(ROW()-ROW(I$1)+1)*首页!$F$31</f>
        <v>416</v>
      </c>
      <c r="J16" s="12" t="s">
        <v>2160</v>
      </c>
      <c r="K16" s="4">
        <f>ROUND((ROW()-ROW(K$1)+1)*首页!$G$31*首页!$H$31,0)</f>
        <v>328</v>
      </c>
      <c r="L16" s="12" t="s">
        <v>2184</v>
      </c>
      <c r="M16" s="13">
        <f>ROUND((ROW()-ROW(M$1)+1)*首页!$G$31*首页!$I$31,0)</f>
        <v>328</v>
      </c>
    </row>
    <row r="17" spans="1:13" outlineLevel="1" x14ac:dyDescent="0.3">
      <c r="A17" s="56">
        <v>17</v>
      </c>
      <c r="B17" s="11" t="s">
        <v>1946</v>
      </c>
      <c r="C17" s="12" t="s">
        <v>1308</v>
      </c>
      <c r="D17" s="12" t="s">
        <v>1381</v>
      </c>
      <c r="E17" s="13">
        <f>(ROW()-ROW(E$1)+1)*首页!$B$31</f>
        <v>4420</v>
      </c>
      <c r="F17" s="4" t="s">
        <v>1573</v>
      </c>
      <c r="G17" s="4">
        <f>ROUNDUP(E17/首页!$E$31,0)</f>
        <v>23</v>
      </c>
      <c r="H17" s="12" t="s">
        <v>1453</v>
      </c>
      <c r="I17" s="4">
        <f>(ROW()-ROW(I$1)+1)*首页!$F$31</f>
        <v>442</v>
      </c>
      <c r="J17" s="12" t="s">
        <v>2161</v>
      </c>
      <c r="K17" s="4">
        <f>ROUND((ROW()-ROW(K$1)+1)*首页!$G$31*首页!$H$31,0)</f>
        <v>349</v>
      </c>
      <c r="L17" s="12" t="s">
        <v>2185</v>
      </c>
      <c r="M17" s="13">
        <f>ROUND((ROW()-ROW(M$1)+1)*首页!$G$31*首页!$I$31,0)</f>
        <v>349</v>
      </c>
    </row>
    <row r="18" spans="1:13" outlineLevel="1" x14ac:dyDescent="0.3">
      <c r="A18" s="56">
        <v>18</v>
      </c>
      <c r="B18" s="11" t="s">
        <v>1946</v>
      </c>
      <c r="C18" s="12" t="s">
        <v>1309</v>
      </c>
      <c r="D18" s="12" t="s">
        <v>1382</v>
      </c>
      <c r="E18" s="13">
        <f>(ROW()-ROW(E$1)+1)*首页!$B$31</f>
        <v>4680</v>
      </c>
      <c r="F18" s="4" t="s">
        <v>1574</v>
      </c>
      <c r="G18" s="4">
        <f>ROUNDUP(E18/首页!$E$31,0)</f>
        <v>24</v>
      </c>
      <c r="H18" s="12" t="s">
        <v>1454</v>
      </c>
      <c r="I18" s="4">
        <f>(ROW()-ROW(I$1)+1)*首页!$F$31</f>
        <v>468</v>
      </c>
      <c r="J18" s="12" t="s">
        <v>2162</v>
      </c>
      <c r="K18" s="4">
        <f>ROUND((ROW()-ROW(K$1)+1)*首页!$G$31*首页!$H$31,0)</f>
        <v>369</v>
      </c>
      <c r="L18" s="12" t="s">
        <v>2186</v>
      </c>
      <c r="M18" s="13">
        <f>ROUND((ROW()-ROW(M$1)+1)*首页!$G$31*首页!$I$31,0)</f>
        <v>369</v>
      </c>
    </row>
    <row r="19" spans="1:13" outlineLevel="1" x14ac:dyDescent="0.3">
      <c r="A19" s="56">
        <v>19</v>
      </c>
      <c r="B19" s="11" t="s">
        <v>1946</v>
      </c>
      <c r="C19" s="12" t="s">
        <v>1310</v>
      </c>
      <c r="D19" s="12" t="s">
        <v>1383</v>
      </c>
      <c r="E19" s="13">
        <f>(ROW()-ROW(E$1)+1)*首页!$B$31</f>
        <v>4940</v>
      </c>
      <c r="F19" s="4" t="s">
        <v>1575</v>
      </c>
      <c r="G19" s="4">
        <f>ROUNDUP(E19/首页!$E$31,0)</f>
        <v>25</v>
      </c>
      <c r="H19" s="12" t="s">
        <v>1455</v>
      </c>
      <c r="I19" s="4">
        <f>(ROW()-ROW(I$1)+1)*首页!$F$31</f>
        <v>494</v>
      </c>
      <c r="J19" s="12" t="s">
        <v>2163</v>
      </c>
      <c r="K19" s="4">
        <f>ROUND((ROW()-ROW(K$1)+1)*首页!$G$31*首页!$H$31,0)</f>
        <v>390</v>
      </c>
      <c r="L19" s="12" t="s">
        <v>2187</v>
      </c>
      <c r="M19" s="13">
        <f>ROUND((ROW()-ROW(M$1)+1)*首页!$G$31*首页!$I$31,0)</f>
        <v>390</v>
      </c>
    </row>
    <row r="20" spans="1:13" outlineLevel="1" x14ac:dyDescent="0.3">
      <c r="A20" s="56">
        <v>20</v>
      </c>
      <c r="B20" s="11" t="s">
        <v>1946</v>
      </c>
      <c r="C20" s="12" t="s">
        <v>1311</v>
      </c>
      <c r="D20" s="12" t="s">
        <v>1384</v>
      </c>
      <c r="E20" s="13">
        <f>(ROW()-ROW(E$1)+1)*首页!$B$31</f>
        <v>5200</v>
      </c>
      <c r="F20" s="4" t="s">
        <v>1576</v>
      </c>
      <c r="G20" s="4">
        <f>ROUNDUP(E20/首页!$E$31,0)</f>
        <v>26</v>
      </c>
      <c r="H20" s="12" t="s">
        <v>1456</v>
      </c>
      <c r="I20" s="4">
        <f>(ROW()-ROW(I$1)+1)*首页!$F$31</f>
        <v>520</v>
      </c>
      <c r="J20" s="12" t="s">
        <v>2164</v>
      </c>
      <c r="K20" s="4">
        <f>ROUND((ROW()-ROW(K$1)+1)*首页!$G$31*首页!$H$31,0)</f>
        <v>410</v>
      </c>
      <c r="L20" s="12" t="s">
        <v>2188</v>
      </c>
      <c r="M20" s="13">
        <f>ROUND((ROW()-ROW(M$1)+1)*首页!$G$31*首页!$I$31,0)</f>
        <v>410</v>
      </c>
    </row>
    <row r="21" spans="1:13" outlineLevel="1" x14ac:dyDescent="0.3">
      <c r="A21" s="56">
        <v>21</v>
      </c>
      <c r="B21" s="11" t="s">
        <v>1946</v>
      </c>
      <c r="C21" s="12" t="s">
        <v>1312</v>
      </c>
      <c r="D21" s="12" t="s">
        <v>1385</v>
      </c>
      <c r="E21" s="13">
        <f>(ROW()-ROW(E$1)+1)*首页!$B$31</f>
        <v>5460</v>
      </c>
      <c r="F21" s="4" t="s">
        <v>1577</v>
      </c>
      <c r="G21" s="4">
        <f>ROUNDUP(E21/首页!$E$31,0)</f>
        <v>28</v>
      </c>
      <c r="H21" s="12" t="s">
        <v>1457</v>
      </c>
      <c r="I21" s="4">
        <f>(ROW()-ROW(I$1)+1)*首页!$F$31</f>
        <v>546</v>
      </c>
      <c r="J21" s="12" t="s">
        <v>2165</v>
      </c>
      <c r="K21" s="4">
        <f>ROUND((ROW()-ROW(K$1)+1)*首页!$G$31*首页!$H$31,0)</f>
        <v>431</v>
      </c>
      <c r="L21" s="12" t="s">
        <v>2189</v>
      </c>
      <c r="M21" s="13">
        <f>ROUND((ROW()-ROW(M$1)+1)*首页!$G$31*首页!$I$31,0)</f>
        <v>431</v>
      </c>
    </row>
    <row r="22" spans="1:13" outlineLevel="1" x14ac:dyDescent="0.3">
      <c r="A22" s="56">
        <v>22</v>
      </c>
      <c r="B22" s="11" t="s">
        <v>1946</v>
      </c>
      <c r="C22" s="12" t="s">
        <v>1313</v>
      </c>
      <c r="D22" s="12" t="s">
        <v>1386</v>
      </c>
      <c r="E22" s="13">
        <f>(ROW()-ROW(E$1)+1)*首页!$B$31</f>
        <v>5720</v>
      </c>
      <c r="F22" s="4" t="s">
        <v>1578</v>
      </c>
      <c r="G22" s="4">
        <f>ROUNDUP(E22/首页!$E$31,0)</f>
        <v>29</v>
      </c>
      <c r="H22" s="12" t="s">
        <v>1458</v>
      </c>
      <c r="I22" s="4">
        <f>(ROW()-ROW(I$1)+1)*首页!$F$31</f>
        <v>572</v>
      </c>
      <c r="J22" s="12" t="s">
        <v>2166</v>
      </c>
      <c r="K22" s="4">
        <f>ROUND((ROW()-ROW(K$1)+1)*首页!$G$31*首页!$H$31,0)</f>
        <v>451</v>
      </c>
      <c r="L22" s="12" t="s">
        <v>2190</v>
      </c>
      <c r="M22" s="13">
        <f>ROUND((ROW()-ROW(M$1)+1)*首页!$G$31*首页!$I$31,0)</f>
        <v>451</v>
      </c>
    </row>
    <row r="23" spans="1:13" outlineLevel="1" x14ac:dyDescent="0.3">
      <c r="A23" s="56">
        <v>23</v>
      </c>
      <c r="B23" s="11" t="s">
        <v>1946</v>
      </c>
      <c r="C23" s="12" t="s">
        <v>1314</v>
      </c>
      <c r="D23" s="12" t="s">
        <v>1387</v>
      </c>
      <c r="E23" s="13">
        <f>(ROW()-ROW(E$1)+1)*首页!$B$31</f>
        <v>5980</v>
      </c>
      <c r="F23" s="4" t="s">
        <v>1579</v>
      </c>
      <c r="G23" s="4">
        <f>ROUNDUP(E23/首页!$E$31,0)</f>
        <v>30</v>
      </c>
      <c r="H23" s="12" t="s">
        <v>1459</v>
      </c>
      <c r="I23" s="4">
        <f>(ROW()-ROW(I$1)+1)*首页!$F$31</f>
        <v>598</v>
      </c>
      <c r="J23" s="12" t="s">
        <v>2167</v>
      </c>
      <c r="K23" s="4">
        <f>ROUND((ROW()-ROW(K$1)+1)*首页!$G$31*首页!$H$31,0)</f>
        <v>472</v>
      </c>
      <c r="L23" s="12" t="s">
        <v>2191</v>
      </c>
      <c r="M23" s="13">
        <f>ROUND((ROW()-ROW(M$1)+1)*首页!$G$31*首页!$I$31,0)</f>
        <v>472</v>
      </c>
    </row>
    <row r="24" spans="1:13" outlineLevel="1" x14ac:dyDescent="0.3">
      <c r="A24" s="56">
        <v>24</v>
      </c>
      <c r="B24" s="11" t="s">
        <v>1946</v>
      </c>
      <c r="C24" s="12" t="s">
        <v>1315</v>
      </c>
      <c r="D24" s="12" t="s">
        <v>1388</v>
      </c>
      <c r="E24" s="13">
        <f>(ROW()-ROW(E$1)+1)*首页!$B$31</f>
        <v>6240</v>
      </c>
      <c r="F24" s="4" t="s">
        <v>1580</v>
      </c>
      <c r="G24" s="4">
        <f>ROUNDUP(E24/首页!$E$31,0)</f>
        <v>32</v>
      </c>
      <c r="H24" s="12" t="s">
        <v>1460</v>
      </c>
      <c r="I24" s="4">
        <f>(ROW()-ROW(I$1)+1)*首页!$F$31</f>
        <v>624</v>
      </c>
      <c r="J24" s="12" t="s">
        <v>2168</v>
      </c>
      <c r="K24" s="4">
        <f>ROUND((ROW()-ROW(K$1)+1)*首页!$G$31*首页!$H$31,0)</f>
        <v>492</v>
      </c>
      <c r="L24" s="12" t="s">
        <v>2192</v>
      </c>
      <c r="M24" s="13">
        <f>ROUND((ROW()-ROW(M$1)+1)*首页!$G$31*首页!$I$31,0)</f>
        <v>492</v>
      </c>
    </row>
    <row r="25" spans="1:13" outlineLevel="1" x14ac:dyDescent="0.3">
      <c r="A25" s="56">
        <v>25</v>
      </c>
      <c r="B25" s="22" t="s">
        <v>1946</v>
      </c>
      <c r="C25" s="23" t="s">
        <v>1316</v>
      </c>
      <c r="D25" s="23" t="s">
        <v>1389</v>
      </c>
      <c r="E25" s="24">
        <f>(ROW()-ROW(E$1)+1)*首页!$B$31</f>
        <v>6500</v>
      </c>
      <c r="F25" s="47" t="s">
        <v>1581</v>
      </c>
      <c r="G25" s="47">
        <f>ROUNDUP(E25/首页!$E$31,0)</f>
        <v>33</v>
      </c>
      <c r="H25" s="23" t="s">
        <v>1461</v>
      </c>
      <c r="I25" s="47">
        <f>(ROW()-ROW(I$1)+1)*首页!$F$31</f>
        <v>650</v>
      </c>
      <c r="J25" s="23" t="s">
        <v>2169</v>
      </c>
      <c r="K25" s="47">
        <f>ROUND((ROW()-ROW(K$1)+1)*首页!$G$31*首页!$H$31,0)</f>
        <v>513</v>
      </c>
      <c r="L25" s="23" t="s">
        <v>2193</v>
      </c>
      <c r="M25" s="24">
        <f>ROUND((ROW()-ROW(M$1)+1)*首页!$G$31*首页!$I$31,0)</f>
        <v>513</v>
      </c>
    </row>
    <row r="26" spans="1: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outlineLevel="1" x14ac:dyDescent="0.3">
      <c r="A27" s="56" t="s">
        <v>2059</v>
      </c>
      <c r="B27" s="7" t="s">
        <v>1945</v>
      </c>
      <c r="C27" s="32" t="s">
        <v>0</v>
      </c>
      <c r="D27" s="123" t="s">
        <v>153</v>
      </c>
      <c r="E27" s="34" t="s">
        <v>1944</v>
      </c>
      <c r="F27" s="123" t="s">
        <v>871</v>
      </c>
      <c r="G27" s="34" t="s">
        <v>1944</v>
      </c>
      <c r="H27" s="2" t="s">
        <v>895</v>
      </c>
      <c r="I27" s="8" t="s">
        <v>1944</v>
      </c>
      <c r="J27" s="2" t="s">
        <v>154</v>
      </c>
      <c r="K27" s="8" t="s">
        <v>1944</v>
      </c>
      <c r="L27" s="2" t="s">
        <v>1317</v>
      </c>
      <c r="M27" s="8" t="s">
        <v>1944</v>
      </c>
    </row>
    <row r="28" spans="1:13" outlineLevel="1" x14ac:dyDescent="0.3">
      <c r="A28" s="56">
        <v>2</v>
      </c>
      <c r="B28" s="8" t="s">
        <v>1947</v>
      </c>
      <c r="C28" s="7" t="s">
        <v>1319</v>
      </c>
      <c r="D28" s="54" t="s">
        <v>1462</v>
      </c>
      <c r="E28" s="54">
        <f>(ROW()-ROW(E$27)+1)*首页!$B$32</f>
        <v>1560</v>
      </c>
      <c r="F28" s="2" t="s">
        <v>1534</v>
      </c>
      <c r="G28" s="53">
        <f>E28/首页!$E$32</f>
        <v>7.8</v>
      </c>
      <c r="H28" s="2" t="s">
        <v>1415</v>
      </c>
      <c r="I28" s="53">
        <f>(ROW()-ROW(I$27)+1)*首页!$F$32</f>
        <v>156</v>
      </c>
      <c r="J28" s="2" t="s">
        <v>2098</v>
      </c>
      <c r="K28" s="53">
        <f>ROUND((ROW()-ROW(K$27)+1)*首页!$G$32*首页!$H$32,0)</f>
        <v>103</v>
      </c>
      <c r="L28" s="2" t="s">
        <v>2122</v>
      </c>
      <c r="M28" s="8">
        <f>ROUND((ROW()-ROW(M$27)+1)*首页!$G$32*首页!$I$32,0)</f>
        <v>103</v>
      </c>
    </row>
    <row r="29" spans="1:13" outlineLevel="1" x14ac:dyDescent="0.3">
      <c r="A29" s="56">
        <v>3</v>
      </c>
      <c r="B29" s="15" t="s">
        <v>1947</v>
      </c>
      <c r="C29" s="121" t="s">
        <v>1320</v>
      </c>
      <c r="D29" s="54" t="s">
        <v>1463</v>
      </c>
      <c r="E29" s="54">
        <f>(ROW()-ROW(E$27)+1)*首页!$B$32</f>
        <v>2340</v>
      </c>
      <c r="F29" s="14" t="s">
        <v>1535</v>
      </c>
      <c r="G29" s="54">
        <f>E29/首页!$E$32</f>
        <v>11.7</v>
      </c>
      <c r="H29" s="14" t="s">
        <v>1416</v>
      </c>
      <c r="I29" s="54">
        <f>(ROW()-ROW(I$27)+1)*首页!$F$32</f>
        <v>234</v>
      </c>
      <c r="J29" s="14" t="s">
        <v>2099</v>
      </c>
      <c r="K29" s="54">
        <f>ROUND((ROW()-ROW(K$27)+1)*首页!$G$32*首页!$H$32,0)</f>
        <v>155</v>
      </c>
      <c r="L29" s="14" t="s">
        <v>2123</v>
      </c>
      <c r="M29" s="15">
        <f>ROUND((ROW()-ROW(M$27)+1)*首页!$G$32*首页!$I$32,0)</f>
        <v>155</v>
      </c>
    </row>
    <row r="30" spans="1:13" outlineLevel="1" x14ac:dyDescent="0.3">
      <c r="A30" s="56">
        <v>4</v>
      </c>
      <c r="B30" s="15" t="s">
        <v>1947</v>
      </c>
      <c r="C30" s="121" t="s">
        <v>1321</v>
      </c>
      <c r="D30" s="54" t="s">
        <v>1464</v>
      </c>
      <c r="E30" s="54">
        <f>(ROW()-ROW(E$27)+1)*首页!$B$32</f>
        <v>3120</v>
      </c>
      <c r="F30" s="14" t="s">
        <v>1536</v>
      </c>
      <c r="G30" s="54">
        <f>E30/首页!$E$32</f>
        <v>15.6</v>
      </c>
      <c r="H30" s="14" t="s">
        <v>1417</v>
      </c>
      <c r="I30" s="54">
        <f>(ROW()-ROW(I$27)+1)*首页!$F$32</f>
        <v>312</v>
      </c>
      <c r="J30" s="14" t="s">
        <v>2100</v>
      </c>
      <c r="K30" s="54">
        <f>ROUND((ROW()-ROW(K$27)+1)*首页!$G$32*首页!$H$32,0)</f>
        <v>206</v>
      </c>
      <c r="L30" s="14" t="s">
        <v>2124</v>
      </c>
      <c r="M30" s="15">
        <f>ROUND((ROW()-ROW(M$27)+1)*首页!$G$32*首页!$I$32,0)</f>
        <v>206</v>
      </c>
    </row>
    <row r="31" spans="1:13" outlineLevel="1" x14ac:dyDescent="0.3">
      <c r="A31" s="56">
        <v>5</v>
      </c>
      <c r="B31" s="15" t="s">
        <v>1947</v>
      </c>
      <c r="C31" s="121" t="s">
        <v>1322</v>
      </c>
      <c r="D31" s="54" t="s">
        <v>1465</v>
      </c>
      <c r="E31" s="54">
        <f>(ROW()-ROW(E$27)+1)*首页!$B$32</f>
        <v>3900</v>
      </c>
      <c r="F31" s="14" t="s">
        <v>1537</v>
      </c>
      <c r="G31" s="54">
        <f>E31/首页!$E$32</f>
        <v>19.5</v>
      </c>
      <c r="H31" s="14" t="s">
        <v>1418</v>
      </c>
      <c r="I31" s="54">
        <f>(ROW()-ROW(I$27)+1)*首页!$F$32</f>
        <v>390</v>
      </c>
      <c r="J31" s="14" t="s">
        <v>2101</v>
      </c>
      <c r="K31" s="54">
        <f>ROUND((ROW()-ROW(K$27)+1)*首页!$G$32*首页!$H$32,0)</f>
        <v>258</v>
      </c>
      <c r="L31" s="14" t="s">
        <v>2125</v>
      </c>
      <c r="M31" s="15">
        <f>ROUND((ROW()-ROW(M$27)+1)*首页!$G$32*首页!$I$32,0)</f>
        <v>258</v>
      </c>
    </row>
    <row r="32" spans="1:13" outlineLevel="1" x14ac:dyDescent="0.3">
      <c r="A32" s="56">
        <v>6</v>
      </c>
      <c r="B32" s="15" t="s">
        <v>1947</v>
      </c>
      <c r="C32" s="121" t="s">
        <v>1323</v>
      </c>
      <c r="D32" s="54" t="s">
        <v>1466</v>
      </c>
      <c r="E32" s="54">
        <f>(ROW()-ROW(E$27)+1)*首页!$B$32</f>
        <v>4680</v>
      </c>
      <c r="F32" s="14" t="s">
        <v>1538</v>
      </c>
      <c r="G32" s="54">
        <f>E32/首页!$E$32</f>
        <v>23.4</v>
      </c>
      <c r="H32" s="14" t="s">
        <v>1419</v>
      </c>
      <c r="I32" s="54">
        <f>(ROW()-ROW(I$27)+1)*首页!$F$32</f>
        <v>468</v>
      </c>
      <c r="J32" s="14" t="s">
        <v>2102</v>
      </c>
      <c r="K32" s="54">
        <f>ROUND((ROW()-ROW(K$27)+1)*首页!$G$32*首页!$H$32,0)</f>
        <v>309</v>
      </c>
      <c r="L32" s="14" t="s">
        <v>2126</v>
      </c>
      <c r="M32" s="15">
        <f>ROUND((ROW()-ROW(M$27)+1)*首页!$G$32*首页!$I$32,0)</f>
        <v>309</v>
      </c>
    </row>
    <row r="33" spans="1:13" outlineLevel="1" x14ac:dyDescent="0.3">
      <c r="A33" s="56">
        <v>7</v>
      </c>
      <c r="B33" s="15" t="s">
        <v>1947</v>
      </c>
      <c r="C33" s="121" t="s">
        <v>1324</v>
      </c>
      <c r="D33" s="54" t="s">
        <v>1467</v>
      </c>
      <c r="E33" s="54">
        <f>(ROW()-ROW(E$27)+1)*首页!$B$32</f>
        <v>5460</v>
      </c>
      <c r="F33" s="14" t="s">
        <v>1539</v>
      </c>
      <c r="G33" s="54">
        <f>E33/首页!$E$32</f>
        <v>27.3</v>
      </c>
      <c r="H33" s="14" t="s">
        <v>1420</v>
      </c>
      <c r="I33" s="54">
        <f>(ROW()-ROW(I$27)+1)*首页!$F$32</f>
        <v>546</v>
      </c>
      <c r="J33" s="14" t="s">
        <v>2103</v>
      </c>
      <c r="K33" s="54">
        <f>ROUND((ROW()-ROW(K$27)+1)*首页!$G$32*首页!$H$32,0)</f>
        <v>361</v>
      </c>
      <c r="L33" s="14" t="s">
        <v>2127</v>
      </c>
      <c r="M33" s="15">
        <f>ROUND((ROW()-ROW(M$27)+1)*首页!$G$32*首页!$I$32,0)</f>
        <v>361</v>
      </c>
    </row>
    <row r="34" spans="1:13" outlineLevel="1" x14ac:dyDescent="0.3">
      <c r="A34" s="56">
        <v>8</v>
      </c>
      <c r="B34" s="15" t="s">
        <v>1947</v>
      </c>
      <c r="C34" s="121" t="s">
        <v>1325</v>
      </c>
      <c r="D34" s="54" t="s">
        <v>1468</v>
      </c>
      <c r="E34" s="54">
        <f>(ROW()-ROW(E$27)+1)*首页!$B$32</f>
        <v>6240</v>
      </c>
      <c r="F34" s="14" t="s">
        <v>1540</v>
      </c>
      <c r="G34" s="54">
        <f>E34/首页!$E$32</f>
        <v>31.2</v>
      </c>
      <c r="H34" s="14" t="s">
        <v>1421</v>
      </c>
      <c r="I34" s="54">
        <f>(ROW()-ROW(I$27)+1)*首页!$F$32</f>
        <v>624</v>
      </c>
      <c r="J34" s="14" t="s">
        <v>2104</v>
      </c>
      <c r="K34" s="54">
        <f>ROUND((ROW()-ROW(K$27)+1)*首页!$G$32*首页!$H$32,0)</f>
        <v>412</v>
      </c>
      <c r="L34" s="14" t="s">
        <v>2128</v>
      </c>
      <c r="M34" s="15">
        <f>ROUND((ROW()-ROW(M$27)+1)*首页!$G$32*首页!$I$32,0)</f>
        <v>412</v>
      </c>
    </row>
    <row r="35" spans="1:13" outlineLevel="1" x14ac:dyDescent="0.3">
      <c r="A35" s="56">
        <v>9</v>
      </c>
      <c r="B35" s="15" t="s">
        <v>1947</v>
      </c>
      <c r="C35" s="121" t="s">
        <v>1326</v>
      </c>
      <c r="D35" s="54" t="s">
        <v>1469</v>
      </c>
      <c r="E35" s="54">
        <f>(ROW()-ROW(E$27)+1)*首页!$B$32</f>
        <v>7020</v>
      </c>
      <c r="F35" s="14" t="s">
        <v>1541</v>
      </c>
      <c r="G35" s="54">
        <f>E35/首页!$E$32</f>
        <v>35.1</v>
      </c>
      <c r="H35" s="14" t="s">
        <v>1422</v>
      </c>
      <c r="I35" s="54">
        <f>(ROW()-ROW(I$27)+1)*首页!$F$32</f>
        <v>702</v>
      </c>
      <c r="J35" s="14" t="s">
        <v>2105</v>
      </c>
      <c r="K35" s="54">
        <f>ROUND((ROW()-ROW(K$27)+1)*首页!$G$32*首页!$H$32,0)</f>
        <v>464</v>
      </c>
      <c r="L35" s="14" t="s">
        <v>2129</v>
      </c>
      <c r="M35" s="15">
        <f>ROUND((ROW()-ROW(M$27)+1)*首页!$G$32*首页!$I$32,0)</f>
        <v>464</v>
      </c>
    </row>
    <row r="36" spans="1:13" outlineLevel="1" x14ac:dyDescent="0.3">
      <c r="A36" s="56">
        <v>10</v>
      </c>
      <c r="B36" s="15" t="s">
        <v>1947</v>
      </c>
      <c r="C36" s="121" t="s">
        <v>1327</v>
      </c>
      <c r="D36" s="54" t="s">
        <v>1470</v>
      </c>
      <c r="E36" s="54">
        <f>(ROW()-ROW(E$27)+1)*首页!$B$32</f>
        <v>7800</v>
      </c>
      <c r="F36" s="14" t="s">
        <v>1542</v>
      </c>
      <c r="G36" s="54">
        <f>E36/首页!$E$32</f>
        <v>39</v>
      </c>
      <c r="H36" s="14" t="s">
        <v>1423</v>
      </c>
      <c r="I36" s="54">
        <f>(ROW()-ROW(I$27)+1)*首页!$F$32</f>
        <v>780</v>
      </c>
      <c r="J36" s="14" t="s">
        <v>2106</v>
      </c>
      <c r="K36" s="54">
        <f>ROUND((ROW()-ROW(K$27)+1)*首页!$G$32*首页!$H$32,0)</f>
        <v>515</v>
      </c>
      <c r="L36" s="14" t="s">
        <v>2130</v>
      </c>
      <c r="M36" s="15">
        <f>ROUND((ROW()-ROW(M$27)+1)*首页!$G$32*首页!$I$32,0)</f>
        <v>515</v>
      </c>
    </row>
    <row r="37" spans="1:13" outlineLevel="1" x14ac:dyDescent="0.3">
      <c r="A37" s="56">
        <v>11</v>
      </c>
      <c r="B37" s="15" t="s">
        <v>1947</v>
      </c>
      <c r="C37" s="121" t="s">
        <v>1328</v>
      </c>
      <c r="D37" s="54" t="s">
        <v>1471</v>
      </c>
      <c r="E37" s="54">
        <f>(ROW()-ROW(E$27)+1)*首页!$B$32</f>
        <v>8580</v>
      </c>
      <c r="F37" s="14" t="s">
        <v>1543</v>
      </c>
      <c r="G37" s="54">
        <f>E37/首页!$E$32</f>
        <v>42.9</v>
      </c>
      <c r="H37" s="14" t="s">
        <v>1424</v>
      </c>
      <c r="I37" s="54">
        <f>(ROW()-ROW(I$27)+1)*首页!$F$32</f>
        <v>858</v>
      </c>
      <c r="J37" s="14" t="s">
        <v>2107</v>
      </c>
      <c r="K37" s="54">
        <f>ROUND((ROW()-ROW(K$27)+1)*首页!$G$32*首页!$H$32,0)</f>
        <v>567</v>
      </c>
      <c r="L37" s="14" t="s">
        <v>2131</v>
      </c>
      <c r="M37" s="15">
        <f>ROUND((ROW()-ROW(M$27)+1)*首页!$G$32*首页!$I$32,0)</f>
        <v>567</v>
      </c>
    </row>
    <row r="38" spans="1:13" outlineLevel="1" x14ac:dyDescent="0.3">
      <c r="A38" s="56">
        <v>12</v>
      </c>
      <c r="B38" s="15" t="s">
        <v>1947</v>
      </c>
      <c r="C38" s="121" t="s">
        <v>1329</v>
      </c>
      <c r="D38" s="54" t="s">
        <v>1472</v>
      </c>
      <c r="E38" s="54">
        <f>(ROW()-ROW(E$27)+1)*首页!$B$32</f>
        <v>9360</v>
      </c>
      <c r="F38" s="14" t="s">
        <v>1544</v>
      </c>
      <c r="G38" s="54">
        <f>E38/首页!$E$32</f>
        <v>46.8</v>
      </c>
      <c r="H38" s="14" t="s">
        <v>1425</v>
      </c>
      <c r="I38" s="54">
        <f>(ROW()-ROW(I$27)+1)*首页!$F$32</f>
        <v>936</v>
      </c>
      <c r="J38" s="14" t="s">
        <v>2108</v>
      </c>
      <c r="K38" s="54">
        <f>ROUND((ROW()-ROW(K$27)+1)*首页!$G$32*首页!$H$32,0)</f>
        <v>618</v>
      </c>
      <c r="L38" s="14" t="s">
        <v>2132</v>
      </c>
      <c r="M38" s="15">
        <f>ROUND((ROW()-ROW(M$27)+1)*首页!$G$32*首页!$I$32,0)</f>
        <v>618</v>
      </c>
    </row>
    <row r="39" spans="1:13" outlineLevel="1" x14ac:dyDescent="0.3">
      <c r="A39" s="56">
        <v>13</v>
      </c>
      <c r="B39" s="15" t="s">
        <v>1947</v>
      </c>
      <c r="C39" s="121" t="s">
        <v>1330</v>
      </c>
      <c r="D39" s="54" t="s">
        <v>1473</v>
      </c>
      <c r="E39" s="54">
        <f>(ROW()-ROW(E$27)+1)*首页!$B$32</f>
        <v>10140</v>
      </c>
      <c r="F39" s="14" t="s">
        <v>1545</v>
      </c>
      <c r="G39" s="54">
        <f>E39/首页!$E$32</f>
        <v>50.7</v>
      </c>
      <c r="H39" s="14" t="s">
        <v>1426</v>
      </c>
      <c r="I39" s="54">
        <f>(ROW()-ROW(I$27)+1)*首页!$F$32</f>
        <v>1014</v>
      </c>
      <c r="J39" s="14" t="s">
        <v>2109</v>
      </c>
      <c r="K39" s="54">
        <f>ROUND((ROW()-ROW(K$27)+1)*首页!$G$32*首页!$H$32,0)</f>
        <v>670</v>
      </c>
      <c r="L39" s="14" t="s">
        <v>2133</v>
      </c>
      <c r="M39" s="15">
        <f>ROUND((ROW()-ROW(M$27)+1)*首页!$G$32*首页!$I$32,0)</f>
        <v>670</v>
      </c>
    </row>
    <row r="40" spans="1:13" outlineLevel="1" x14ac:dyDescent="0.3">
      <c r="A40" s="56">
        <v>14</v>
      </c>
      <c r="B40" s="15" t="s">
        <v>1947</v>
      </c>
      <c r="C40" s="121" t="s">
        <v>1331</v>
      </c>
      <c r="D40" s="54" t="s">
        <v>1474</v>
      </c>
      <c r="E40" s="54">
        <f>(ROW()-ROW(E$27)+1)*首页!$B$32</f>
        <v>10920</v>
      </c>
      <c r="F40" s="14" t="s">
        <v>1546</v>
      </c>
      <c r="G40" s="54">
        <f>E40/首页!$E$32</f>
        <v>54.6</v>
      </c>
      <c r="H40" s="14" t="s">
        <v>1427</v>
      </c>
      <c r="I40" s="54">
        <f>(ROW()-ROW(I$27)+1)*首页!$F$32</f>
        <v>1092</v>
      </c>
      <c r="J40" s="14" t="s">
        <v>2110</v>
      </c>
      <c r="K40" s="54">
        <f>ROUND((ROW()-ROW(K$27)+1)*首页!$G$32*首页!$H$32,0)</f>
        <v>721</v>
      </c>
      <c r="L40" s="14" t="s">
        <v>2134</v>
      </c>
      <c r="M40" s="15">
        <f>ROUND((ROW()-ROW(M$27)+1)*首页!$G$32*首页!$I$32,0)</f>
        <v>721</v>
      </c>
    </row>
    <row r="41" spans="1:13" outlineLevel="1" x14ac:dyDescent="0.3">
      <c r="A41" s="56">
        <v>15</v>
      </c>
      <c r="B41" s="15" t="s">
        <v>1947</v>
      </c>
      <c r="C41" s="121" t="s">
        <v>1332</v>
      </c>
      <c r="D41" s="54" t="s">
        <v>1475</v>
      </c>
      <c r="E41" s="54">
        <f>(ROW()-ROW(E$27)+1)*首页!$B$32</f>
        <v>11700</v>
      </c>
      <c r="F41" s="14" t="s">
        <v>1547</v>
      </c>
      <c r="G41" s="54">
        <f>E41/首页!$E$32</f>
        <v>58.5</v>
      </c>
      <c r="H41" s="14" t="s">
        <v>1428</v>
      </c>
      <c r="I41" s="54">
        <f>(ROW()-ROW(I$27)+1)*首页!$F$32</f>
        <v>1170</v>
      </c>
      <c r="J41" s="14" t="s">
        <v>2111</v>
      </c>
      <c r="K41" s="54">
        <f>ROUND((ROW()-ROW(K$27)+1)*首页!$G$32*首页!$H$32,0)</f>
        <v>773</v>
      </c>
      <c r="L41" s="14" t="s">
        <v>2135</v>
      </c>
      <c r="M41" s="15">
        <f>ROUND((ROW()-ROW(M$27)+1)*首页!$G$32*首页!$I$32,0)</f>
        <v>773</v>
      </c>
    </row>
    <row r="42" spans="1:13" outlineLevel="1" x14ac:dyDescent="0.3">
      <c r="A42" s="56">
        <v>16</v>
      </c>
      <c r="B42" s="15" t="s">
        <v>1947</v>
      </c>
      <c r="C42" s="121" t="s">
        <v>1333</v>
      </c>
      <c r="D42" s="54" t="s">
        <v>1476</v>
      </c>
      <c r="E42" s="54">
        <f>(ROW()-ROW(E$27)+1)*首页!$B$32</f>
        <v>12480</v>
      </c>
      <c r="F42" s="14" t="s">
        <v>1548</v>
      </c>
      <c r="G42" s="54">
        <f>E42/首页!$E$32</f>
        <v>62.4</v>
      </c>
      <c r="H42" s="14" t="s">
        <v>1429</v>
      </c>
      <c r="I42" s="54">
        <f>(ROW()-ROW(I$27)+1)*首页!$F$32</f>
        <v>1248</v>
      </c>
      <c r="J42" s="14" t="s">
        <v>2112</v>
      </c>
      <c r="K42" s="54">
        <f>ROUND((ROW()-ROW(K$27)+1)*首页!$G$32*首页!$H$32,0)</f>
        <v>824</v>
      </c>
      <c r="L42" s="14" t="s">
        <v>2136</v>
      </c>
      <c r="M42" s="15">
        <f>ROUND((ROW()-ROW(M$27)+1)*首页!$G$32*首页!$I$32,0)</f>
        <v>824</v>
      </c>
    </row>
    <row r="43" spans="1:13" outlineLevel="1" x14ac:dyDescent="0.3">
      <c r="A43" s="56">
        <v>17</v>
      </c>
      <c r="B43" s="15" t="s">
        <v>1947</v>
      </c>
      <c r="C43" s="121" t="s">
        <v>1334</v>
      </c>
      <c r="D43" s="54" t="s">
        <v>1477</v>
      </c>
      <c r="E43" s="54">
        <f>(ROW()-ROW(E$27)+1)*首页!$B$32</f>
        <v>13260</v>
      </c>
      <c r="F43" s="14" t="s">
        <v>1549</v>
      </c>
      <c r="G43" s="54">
        <f>E43/首页!$E$32</f>
        <v>66.3</v>
      </c>
      <c r="H43" s="14" t="s">
        <v>1430</v>
      </c>
      <c r="I43" s="54">
        <f>(ROW()-ROW(I$27)+1)*首页!$F$32</f>
        <v>1326</v>
      </c>
      <c r="J43" s="14" t="s">
        <v>2113</v>
      </c>
      <c r="K43" s="54">
        <f>ROUND((ROW()-ROW(K$27)+1)*首页!$G$32*首页!$H$32,0)</f>
        <v>876</v>
      </c>
      <c r="L43" s="14" t="s">
        <v>2137</v>
      </c>
      <c r="M43" s="15">
        <f>ROUND((ROW()-ROW(M$27)+1)*首页!$G$32*首页!$I$32,0)</f>
        <v>876</v>
      </c>
    </row>
    <row r="44" spans="1:13" outlineLevel="1" x14ac:dyDescent="0.3">
      <c r="A44" s="56">
        <v>18</v>
      </c>
      <c r="B44" s="15" t="s">
        <v>1947</v>
      </c>
      <c r="C44" s="121" t="s">
        <v>1335</v>
      </c>
      <c r="D44" s="54" t="s">
        <v>1478</v>
      </c>
      <c r="E44" s="54">
        <f>(ROW()-ROW(E$27)+1)*首页!$B$32</f>
        <v>14040</v>
      </c>
      <c r="F44" s="14" t="s">
        <v>1550</v>
      </c>
      <c r="G44" s="54">
        <f>E44/首页!$E$32</f>
        <v>70.2</v>
      </c>
      <c r="H44" s="14" t="s">
        <v>1431</v>
      </c>
      <c r="I44" s="54">
        <f>(ROW()-ROW(I$27)+1)*首页!$F$32</f>
        <v>1404</v>
      </c>
      <c r="J44" s="14" t="s">
        <v>2114</v>
      </c>
      <c r="K44" s="54">
        <f>ROUND((ROW()-ROW(K$27)+1)*首页!$G$32*首页!$H$32,0)</f>
        <v>927</v>
      </c>
      <c r="L44" s="14" t="s">
        <v>2138</v>
      </c>
      <c r="M44" s="15">
        <f>ROUND((ROW()-ROW(M$27)+1)*首页!$G$32*首页!$I$32,0)</f>
        <v>927</v>
      </c>
    </row>
    <row r="45" spans="1:13" outlineLevel="1" x14ac:dyDescent="0.3">
      <c r="A45" s="56">
        <v>19</v>
      </c>
      <c r="B45" s="15" t="s">
        <v>1947</v>
      </c>
      <c r="C45" s="121" t="s">
        <v>1336</v>
      </c>
      <c r="D45" s="54" t="s">
        <v>1479</v>
      </c>
      <c r="E45" s="54">
        <f>(ROW()-ROW(E$27)+1)*首页!$B$32</f>
        <v>14820</v>
      </c>
      <c r="F45" s="14" t="s">
        <v>1551</v>
      </c>
      <c r="G45" s="54">
        <f>E45/首页!$E$32</f>
        <v>74.099999999999994</v>
      </c>
      <c r="H45" s="14" t="s">
        <v>1432</v>
      </c>
      <c r="I45" s="54">
        <f>(ROW()-ROW(I$27)+1)*首页!$F$32</f>
        <v>1482</v>
      </c>
      <c r="J45" s="14" t="s">
        <v>2115</v>
      </c>
      <c r="K45" s="54">
        <f>ROUND((ROW()-ROW(K$27)+1)*首页!$G$32*首页!$H$32,0)</f>
        <v>979</v>
      </c>
      <c r="L45" s="14" t="s">
        <v>2139</v>
      </c>
      <c r="M45" s="15">
        <f>ROUND((ROW()-ROW(M$27)+1)*首页!$G$32*首页!$I$32,0)</f>
        <v>979</v>
      </c>
    </row>
    <row r="46" spans="1:13" outlineLevel="1" x14ac:dyDescent="0.3">
      <c r="A46" s="56">
        <v>20</v>
      </c>
      <c r="B46" s="15" t="s">
        <v>1947</v>
      </c>
      <c r="C46" s="121" t="s">
        <v>1337</v>
      </c>
      <c r="D46" s="54" t="s">
        <v>1480</v>
      </c>
      <c r="E46" s="54">
        <f>(ROW()-ROW(E$27)+1)*首页!$B$32</f>
        <v>15600</v>
      </c>
      <c r="F46" s="14" t="s">
        <v>1552</v>
      </c>
      <c r="G46" s="54">
        <f>E46/首页!$E$32</f>
        <v>78</v>
      </c>
      <c r="H46" s="14" t="s">
        <v>1433</v>
      </c>
      <c r="I46" s="54">
        <f>(ROW()-ROW(I$27)+1)*首页!$F$32</f>
        <v>1560</v>
      </c>
      <c r="J46" s="14" t="s">
        <v>2116</v>
      </c>
      <c r="K46" s="54">
        <f>ROUND((ROW()-ROW(K$27)+1)*首页!$G$32*首页!$H$32,0)</f>
        <v>1030</v>
      </c>
      <c r="L46" s="14" t="s">
        <v>2140</v>
      </c>
      <c r="M46" s="15">
        <f>ROUND((ROW()-ROW(M$27)+1)*首页!$G$32*首页!$I$32,0)</f>
        <v>1030</v>
      </c>
    </row>
    <row r="47" spans="1:13" outlineLevel="1" x14ac:dyDescent="0.3">
      <c r="A47" s="56">
        <v>21</v>
      </c>
      <c r="B47" s="15" t="s">
        <v>1947</v>
      </c>
      <c r="C47" s="121" t="s">
        <v>1338</v>
      </c>
      <c r="D47" s="54" t="s">
        <v>1481</v>
      </c>
      <c r="E47" s="54">
        <f>(ROW()-ROW(E$27)+1)*首页!$B$32</f>
        <v>16380</v>
      </c>
      <c r="F47" s="14" t="s">
        <v>1553</v>
      </c>
      <c r="G47" s="54">
        <f>E47/首页!$E$32</f>
        <v>81.900000000000006</v>
      </c>
      <c r="H47" s="14" t="s">
        <v>1434</v>
      </c>
      <c r="I47" s="54">
        <f>(ROW()-ROW(I$27)+1)*首页!$F$32</f>
        <v>1638</v>
      </c>
      <c r="J47" s="14" t="s">
        <v>2117</v>
      </c>
      <c r="K47" s="54">
        <f>ROUND((ROW()-ROW(K$27)+1)*首页!$G$32*首页!$H$32,0)</f>
        <v>1082</v>
      </c>
      <c r="L47" s="14" t="s">
        <v>2141</v>
      </c>
      <c r="M47" s="15">
        <f>ROUND((ROW()-ROW(M$27)+1)*首页!$G$32*首页!$I$32,0)</f>
        <v>1082</v>
      </c>
    </row>
    <row r="48" spans="1:13" outlineLevel="1" x14ac:dyDescent="0.3">
      <c r="A48" s="56">
        <v>22</v>
      </c>
      <c r="B48" s="15" t="s">
        <v>1947</v>
      </c>
      <c r="C48" s="121" t="s">
        <v>1339</v>
      </c>
      <c r="D48" s="54" t="s">
        <v>1482</v>
      </c>
      <c r="E48" s="54">
        <f>(ROW()-ROW(E$27)+1)*首页!$B$32</f>
        <v>17160</v>
      </c>
      <c r="F48" s="14" t="s">
        <v>1554</v>
      </c>
      <c r="G48" s="54">
        <f>E48/首页!$E$32</f>
        <v>85.8</v>
      </c>
      <c r="H48" s="14" t="s">
        <v>1435</v>
      </c>
      <c r="I48" s="54">
        <f>(ROW()-ROW(I$27)+1)*首页!$F$32</f>
        <v>1716</v>
      </c>
      <c r="J48" s="14" t="s">
        <v>2118</v>
      </c>
      <c r="K48" s="54">
        <f>ROUND((ROW()-ROW(K$27)+1)*首页!$G$32*首页!$H$32,0)</f>
        <v>1133</v>
      </c>
      <c r="L48" s="14" t="s">
        <v>2142</v>
      </c>
      <c r="M48" s="15">
        <f>ROUND((ROW()-ROW(M$27)+1)*首页!$G$32*首页!$I$32,0)</f>
        <v>1133</v>
      </c>
    </row>
    <row r="49" spans="1:13" outlineLevel="1" x14ac:dyDescent="0.3">
      <c r="A49" s="56">
        <v>23</v>
      </c>
      <c r="B49" s="15" t="s">
        <v>1947</v>
      </c>
      <c r="C49" s="121" t="s">
        <v>1340</v>
      </c>
      <c r="D49" s="54" t="s">
        <v>1483</v>
      </c>
      <c r="E49" s="54">
        <f>(ROW()-ROW(E$27)+1)*首页!$B$32</f>
        <v>17940</v>
      </c>
      <c r="F49" s="14" t="s">
        <v>1555</v>
      </c>
      <c r="G49" s="54">
        <f>E49/首页!$E$32</f>
        <v>89.7</v>
      </c>
      <c r="H49" s="14" t="s">
        <v>1436</v>
      </c>
      <c r="I49" s="54">
        <f>(ROW()-ROW(I$27)+1)*首页!$F$32</f>
        <v>1794</v>
      </c>
      <c r="J49" s="14" t="s">
        <v>2119</v>
      </c>
      <c r="K49" s="54">
        <f>ROUND((ROW()-ROW(K$27)+1)*首页!$G$32*首页!$H$32,0)</f>
        <v>1185</v>
      </c>
      <c r="L49" s="14" t="s">
        <v>2143</v>
      </c>
      <c r="M49" s="15">
        <f>ROUND((ROW()-ROW(M$27)+1)*首页!$G$32*首页!$I$32,0)</f>
        <v>1185</v>
      </c>
    </row>
    <row r="50" spans="1:13" outlineLevel="1" x14ac:dyDescent="0.3">
      <c r="A50" s="56">
        <v>24</v>
      </c>
      <c r="B50" s="15" t="s">
        <v>1947</v>
      </c>
      <c r="C50" s="121" t="s">
        <v>1341</v>
      </c>
      <c r="D50" s="54" t="s">
        <v>1484</v>
      </c>
      <c r="E50" s="54">
        <f>(ROW()-ROW(E$27)+1)*首页!$B$32</f>
        <v>18720</v>
      </c>
      <c r="F50" s="14" t="s">
        <v>1556</v>
      </c>
      <c r="G50" s="54">
        <f>E50/首页!$E$32</f>
        <v>93.6</v>
      </c>
      <c r="H50" s="14" t="s">
        <v>1437</v>
      </c>
      <c r="I50" s="54">
        <f>(ROW()-ROW(I$27)+1)*首页!$F$32</f>
        <v>1872</v>
      </c>
      <c r="J50" s="14" t="s">
        <v>2120</v>
      </c>
      <c r="K50" s="54">
        <f>ROUND((ROW()-ROW(K$27)+1)*首页!$G$32*首页!$H$32,0)</f>
        <v>1236</v>
      </c>
      <c r="L50" s="14" t="s">
        <v>2144</v>
      </c>
      <c r="M50" s="15">
        <f>ROUND((ROW()-ROW(M$27)+1)*首页!$G$32*首页!$I$32,0)</f>
        <v>1236</v>
      </c>
    </row>
    <row r="51" spans="1:13" outlineLevel="1" x14ac:dyDescent="0.3">
      <c r="A51" s="56">
        <v>25</v>
      </c>
      <c r="B51" s="26" t="s">
        <v>1947</v>
      </c>
      <c r="C51" s="122" t="s">
        <v>1342</v>
      </c>
      <c r="D51" s="54" t="s">
        <v>1485</v>
      </c>
      <c r="E51" s="54">
        <f>(ROW()-ROW(E$27)+1)*首页!$B$32</f>
        <v>19500</v>
      </c>
      <c r="F51" s="25" t="s">
        <v>1557</v>
      </c>
      <c r="G51" s="55">
        <f>E51/首页!$E$32</f>
        <v>97.5</v>
      </c>
      <c r="H51" s="25" t="s">
        <v>1438</v>
      </c>
      <c r="I51" s="55">
        <f>(ROW()-ROW(I$27)+1)*首页!$F$32</f>
        <v>1950</v>
      </c>
      <c r="J51" s="25" t="s">
        <v>2121</v>
      </c>
      <c r="K51" s="55">
        <f>ROUND((ROW()-ROW(K$27)+1)*首页!$G$32*首页!$H$32,0)</f>
        <v>1288</v>
      </c>
      <c r="L51" s="25" t="s">
        <v>2145</v>
      </c>
      <c r="M51" s="26">
        <f>ROUND((ROW()-ROW(M$27)+1)*首页!$G$32*首页!$I$32,0)</f>
        <v>1288</v>
      </c>
    </row>
    <row r="52" spans="1:1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outlineLevel="1" x14ac:dyDescent="0.3">
      <c r="A53" s="56" t="s">
        <v>2059</v>
      </c>
      <c r="B53" s="9" t="s">
        <v>1945</v>
      </c>
      <c r="C53" s="9" t="s">
        <v>0</v>
      </c>
      <c r="D53" s="3" t="s">
        <v>153</v>
      </c>
      <c r="E53" s="10" t="s">
        <v>1944</v>
      </c>
      <c r="F53" s="3" t="s">
        <v>871</v>
      </c>
      <c r="G53" s="10" t="s">
        <v>1944</v>
      </c>
      <c r="H53" s="3" t="s">
        <v>895</v>
      </c>
      <c r="I53" s="10" t="s">
        <v>1944</v>
      </c>
      <c r="J53" s="18" t="s">
        <v>154</v>
      </c>
      <c r="K53" s="19" t="s">
        <v>1944</v>
      </c>
      <c r="L53" s="18" t="s">
        <v>1317</v>
      </c>
      <c r="M53" s="19" t="s">
        <v>1944</v>
      </c>
    </row>
    <row r="54" spans="1:13" outlineLevel="1" x14ac:dyDescent="0.3">
      <c r="A54" s="56">
        <v>2</v>
      </c>
      <c r="B54" s="16" t="s">
        <v>1948</v>
      </c>
      <c r="C54" s="17" t="s">
        <v>1318</v>
      </c>
      <c r="D54" s="18" t="s">
        <v>1486</v>
      </c>
      <c r="E54" s="19">
        <f>(ROW()-ROW(E$53)+1)*首页!$B$33</f>
        <v>4680</v>
      </c>
      <c r="F54" s="18" t="s">
        <v>1510</v>
      </c>
      <c r="G54" s="19">
        <f>ROUNDUP(E54/首页!$E$33,0)</f>
        <v>24</v>
      </c>
      <c r="H54" s="18" t="s">
        <v>1391</v>
      </c>
      <c r="I54" s="58">
        <f>(ROW()-ROW(I$53)+1)*首页!$F$33</f>
        <v>468</v>
      </c>
      <c r="J54" s="18" t="s">
        <v>2269</v>
      </c>
      <c r="K54" s="58">
        <f>ROUND((ROW()-ROW(K$53)+1)*首页!$G$33*首页!$H$33,0)</f>
        <v>258</v>
      </c>
      <c r="L54" s="18" t="s">
        <v>2592</v>
      </c>
      <c r="M54" s="19">
        <f>ROUND((ROW()-ROW(M$53)+1)*首页!$G$33*首页!$I$33,0)</f>
        <v>258</v>
      </c>
    </row>
    <row r="55" spans="1:13" outlineLevel="1" x14ac:dyDescent="0.3">
      <c r="A55" s="56">
        <v>3</v>
      </c>
      <c r="B55" s="16" t="s">
        <v>1948</v>
      </c>
      <c r="C55" s="16" t="s">
        <v>1343</v>
      </c>
      <c r="D55" s="20" t="s">
        <v>1487</v>
      </c>
      <c r="E55" s="21">
        <f>(ROW()-ROW(E$53)+1)*首页!$B$33</f>
        <v>7020</v>
      </c>
      <c r="F55" s="20" t="s">
        <v>1511</v>
      </c>
      <c r="G55" s="21">
        <f>ROUNDUP(E55/首页!$E$33,0)</f>
        <v>36</v>
      </c>
      <c r="H55" s="20" t="s">
        <v>1392</v>
      </c>
      <c r="I55" s="59">
        <f>(ROW()-ROW(I$53)+1)*首页!$F$33</f>
        <v>702</v>
      </c>
      <c r="J55" s="20" t="s">
        <v>2270</v>
      </c>
      <c r="K55" s="59">
        <f>ROUND((ROW()-ROW($J$53)+1)*首页!$G$33*首页!$H$33,0)</f>
        <v>387</v>
      </c>
      <c r="L55" s="20" t="s">
        <v>2593</v>
      </c>
      <c r="M55" s="21">
        <f>ROUND((ROW()-ROW(M$53)+1)*首页!$G$33*首页!$I$33,0)</f>
        <v>387</v>
      </c>
    </row>
    <row r="56" spans="1:13" outlineLevel="1" x14ac:dyDescent="0.3">
      <c r="A56" s="56">
        <v>4</v>
      </c>
      <c r="B56" s="16" t="s">
        <v>1948</v>
      </c>
      <c r="C56" s="16" t="s">
        <v>1344</v>
      </c>
      <c r="D56" s="20" t="s">
        <v>1488</v>
      </c>
      <c r="E56" s="21">
        <f>(ROW()-ROW(E$53)+1)*首页!$B$33</f>
        <v>9360</v>
      </c>
      <c r="F56" s="20" t="s">
        <v>1512</v>
      </c>
      <c r="G56" s="21">
        <f>ROUNDUP(E56/首页!$E$33,0)</f>
        <v>47</v>
      </c>
      <c r="H56" s="20" t="s">
        <v>1393</v>
      </c>
      <c r="I56" s="59">
        <f>(ROW()-ROW(I$53)+1)*首页!$F$33</f>
        <v>936</v>
      </c>
      <c r="J56" s="20" t="s">
        <v>2271</v>
      </c>
      <c r="K56" s="59">
        <f>ROUND((ROW()-ROW($J$53)+1)*首页!$G$33*首页!$H$33,0)</f>
        <v>516</v>
      </c>
      <c r="L56" s="20" t="s">
        <v>2594</v>
      </c>
      <c r="M56" s="21">
        <f>ROUND((ROW()-ROW(M$53)+1)*首页!$G$33*首页!$I$33,0)</f>
        <v>516</v>
      </c>
    </row>
    <row r="57" spans="1:13" outlineLevel="1" x14ac:dyDescent="0.3">
      <c r="A57" s="56">
        <v>5</v>
      </c>
      <c r="B57" s="16" t="s">
        <v>1948</v>
      </c>
      <c r="C57" s="16" t="s">
        <v>1345</v>
      </c>
      <c r="D57" s="20" t="s">
        <v>1489</v>
      </c>
      <c r="E57" s="21">
        <f>(ROW()-ROW(E$53)+1)*首页!$B$33</f>
        <v>11700</v>
      </c>
      <c r="F57" s="20" t="s">
        <v>1513</v>
      </c>
      <c r="G57" s="21">
        <f>ROUNDUP(E57/首页!$E$33,0)</f>
        <v>59</v>
      </c>
      <c r="H57" s="20" t="s">
        <v>1394</v>
      </c>
      <c r="I57" s="59">
        <f>(ROW()-ROW(I$53)+1)*首页!$F$33</f>
        <v>1170</v>
      </c>
      <c r="J57" s="20" t="s">
        <v>2272</v>
      </c>
      <c r="K57" s="59">
        <f>ROUND((ROW()-ROW($J$53)+1)*首页!$G$33*首页!$H$33,0)</f>
        <v>645</v>
      </c>
      <c r="L57" s="20" t="s">
        <v>2595</v>
      </c>
      <c r="M57" s="21">
        <f>ROUND((ROW()-ROW(M$53)+1)*首页!$G$33*首页!$I$33,0)</f>
        <v>645</v>
      </c>
    </row>
    <row r="58" spans="1:13" outlineLevel="1" x14ac:dyDescent="0.3">
      <c r="A58" s="56">
        <v>6</v>
      </c>
      <c r="B58" s="16" t="s">
        <v>1948</v>
      </c>
      <c r="C58" s="16" t="s">
        <v>1346</v>
      </c>
      <c r="D58" s="20" t="s">
        <v>1490</v>
      </c>
      <c r="E58" s="21">
        <f>(ROW()-ROW(E$53)+1)*首页!$B$33</f>
        <v>14040</v>
      </c>
      <c r="F58" s="20" t="s">
        <v>1514</v>
      </c>
      <c r="G58" s="21">
        <f>ROUNDUP(E58/首页!$E$33,0)</f>
        <v>71</v>
      </c>
      <c r="H58" s="20" t="s">
        <v>1395</v>
      </c>
      <c r="I58" s="59">
        <f>(ROW()-ROW(I$53)+1)*首页!$F$33</f>
        <v>1404</v>
      </c>
      <c r="J58" s="20" t="s">
        <v>2273</v>
      </c>
      <c r="K58" s="59">
        <f>ROUND((ROW()-ROW($J$53)+1)*首页!$G$33*首页!$H$33,0)</f>
        <v>774</v>
      </c>
      <c r="L58" s="20" t="s">
        <v>2596</v>
      </c>
      <c r="M58" s="21">
        <f>ROUND((ROW()-ROW(M$53)+1)*首页!$G$33*首页!$I$33,0)</f>
        <v>774</v>
      </c>
    </row>
    <row r="59" spans="1:13" outlineLevel="1" x14ac:dyDescent="0.3">
      <c r="A59" s="56">
        <v>7</v>
      </c>
      <c r="B59" s="16" t="s">
        <v>1948</v>
      </c>
      <c r="C59" s="16" t="s">
        <v>1347</v>
      </c>
      <c r="D59" s="20" t="s">
        <v>1491</v>
      </c>
      <c r="E59" s="21">
        <f>(ROW()-ROW(E$53)+1)*首页!$B$33</f>
        <v>16380</v>
      </c>
      <c r="F59" s="20" t="s">
        <v>1515</v>
      </c>
      <c r="G59" s="21">
        <f>ROUNDUP(E59/首页!$E$33,0)</f>
        <v>82</v>
      </c>
      <c r="H59" s="20" t="s">
        <v>1396</v>
      </c>
      <c r="I59" s="59">
        <f>(ROW()-ROW(I$53)+1)*首页!$F$33</f>
        <v>1638</v>
      </c>
      <c r="J59" s="20" t="s">
        <v>2274</v>
      </c>
      <c r="K59" s="59">
        <f>ROUND((ROW()-ROW($J$53)+1)*首页!$G$33*首页!$H$33,0)</f>
        <v>903</v>
      </c>
      <c r="L59" s="20" t="s">
        <v>2597</v>
      </c>
      <c r="M59" s="21">
        <f>ROUND((ROW()-ROW(M$53)+1)*首页!$G$33*首页!$I$33,0)</f>
        <v>903</v>
      </c>
    </row>
    <row r="60" spans="1:13" outlineLevel="1" x14ac:dyDescent="0.3">
      <c r="A60" s="56">
        <v>8</v>
      </c>
      <c r="B60" s="16" t="s">
        <v>1948</v>
      </c>
      <c r="C60" s="16" t="s">
        <v>1348</v>
      </c>
      <c r="D60" s="20" t="s">
        <v>1492</v>
      </c>
      <c r="E60" s="21">
        <f>(ROW()-ROW(E$53)+1)*首页!$B$33</f>
        <v>18720</v>
      </c>
      <c r="F60" s="20" t="s">
        <v>1516</v>
      </c>
      <c r="G60" s="21">
        <f>ROUNDUP(E60/首页!$E$33,0)</f>
        <v>94</v>
      </c>
      <c r="H60" s="20" t="s">
        <v>1397</v>
      </c>
      <c r="I60" s="59">
        <f>(ROW()-ROW(I$53)+1)*首页!$F$33</f>
        <v>1872</v>
      </c>
      <c r="J60" s="20" t="s">
        <v>2275</v>
      </c>
      <c r="K60" s="59">
        <f>ROUND((ROW()-ROW($J$53)+1)*首页!$G$33*首页!$H$33,0)</f>
        <v>1032</v>
      </c>
      <c r="L60" s="20" t="s">
        <v>2598</v>
      </c>
      <c r="M60" s="21">
        <f>ROUND((ROW()-ROW(M$53)+1)*首页!$G$33*首页!$I$33,0)</f>
        <v>1032</v>
      </c>
    </row>
    <row r="61" spans="1:13" outlineLevel="1" x14ac:dyDescent="0.3">
      <c r="A61" s="56">
        <v>9</v>
      </c>
      <c r="B61" s="16" t="s">
        <v>1948</v>
      </c>
      <c r="C61" s="16" t="s">
        <v>1349</v>
      </c>
      <c r="D61" s="20" t="s">
        <v>1493</v>
      </c>
      <c r="E61" s="21">
        <f>(ROW()-ROW(E$53)+1)*首页!$B$33</f>
        <v>21060</v>
      </c>
      <c r="F61" s="20" t="s">
        <v>1517</v>
      </c>
      <c r="G61" s="21">
        <f>ROUNDUP(E61/首页!$E$33,0)</f>
        <v>106</v>
      </c>
      <c r="H61" s="20" t="s">
        <v>1398</v>
      </c>
      <c r="I61" s="59">
        <f>(ROW()-ROW(I$53)+1)*首页!$F$33</f>
        <v>2106</v>
      </c>
      <c r="J61" s="20" t="s">
        <v>2276</v>
      </c>
      <c r="K61" s="59">
        <f>ROUND((ROW()-ROW($J$53)+1)*首页!$G$33*首页!$H$33,0)</f>
        <v>1161</v>
      </c>
      <c r="L61" s="20" t="s">
        <v>2599</v>
      </c>
      <c r="M61" s="21">
        <f>ROUND((ROW()-ROW(M$53)+1)*首页!$G$33*首页!$I$33,0)</f>
        <v>1161</v>
      </c>
    </row>
    <row r="62" spans="1:13" outlineLevel="1" x14ac:dyDescent="0.3">
      <c r="A62" s="56">
        <v>10</v>
      </c>
      <c r="B62" s="16" t="s">
        <v>1948</v>
      </c>
      <c r="C62" s="16" t="s">
        <v>1350</v>
      </c>
      <c r="D62" s="20" t="s">
        <v>1494</v>
      </c>
      <c r="E62" s="21">
        <f>(ROW()-ROW(E$53)+1)*首页!$B$33</f>
        <v>23400</v>
      </c>
      <c r="F62" s="20" t="s">
        <v>1518</v>
      </c>
      <c r="G62" s="21">
        <f>ROUNDUP(E62/首页!$E$33,0)</f>
        <v>117</v>
      </c>
      <c r="H62" s="20" t="s">
        <v>1399</v>
      </c>
      <c r="I62" s="59">
        <f>(ROW()-ROW(I$53)+1)*首页!$F$33</f>
        <v>2340</v>
      </c>
      <c r="J62" s="20" t="s">
        <v>2277</v>
      </c>
      <c r="K62" s="59">
        <f>ROUND((ROW()-ROW($J$53)+1)*首页!$G$33*首页!$H$33,0)</f>
        <v>1290</v>
      </c>
      <c r="L62" s="20" t="s">
        <v>2600</v>
      </c>
      <c r="M62" s="21">
        <f>ROUND((ROW()-ROW(M$53)+1)*首页!$G$33*首页!$I$33,0)</f>
        <v>1290</v>
      </c>
    </row>
    <row r="63" spans="1:13" outlineLevel="1" x14ac:dyDescent="0.3">
      <c r="A63" s="56">
        <v>11</v>
      </c>
      <c r="B63" s="16" t="s">
        <v>1948</v>
      </c>
      <c r="C63" s="16" t="s">
        <v>1351</v>
      </c>
      <c r="D63" s="20" t="s">
        <v>1495</v>
      </c>
      <c r="E63" s="21">
        <f>(ROW()-ROW(E$53)+1)*首页!$B$33</f>
        <v>25740</v>
      </c>
      <c r="F63" s="20" t="s">
        <v>1519</v>
      </c>
      <c r="G63" s="21">
        <f>ROUNDUP(E63/首页!$E$33,0)</f>
        <v>129</v>
      </c>
      <c r="H63" s="20" t="s">
        <v>1400</v>
      </c>
      <c r="I63" s="59">
        <f>(ROW()-ROW(I$53)+1)*首页!$F$33</f>
        <v>2574</v>
      </c>
      <c r="J63" s="20" t="s">
        <v>2278</v>
      </c>
      <c r="K63" s="59">
        <f>ROUND((ROW()-ROW($J$53)+1)*首页!$G$33*首页!$H$33,0)</f>
        <v>1419</v>
      </c>
      <c r="L63" s="20" t="s">
        <v>2601</v>
      </c>
      <c r="M63" s="21">
        <f>ROUND((ROW()-ROW(M$53)+1)*首页!$G$33*首页!$I$33,0)</f>
        <v>1419</v>
      </c>
    </row>
    <row r="64" spans="1:13" outlineLevel="1" x14ac:dyDescent="0.3">
      <c r="A64" s="56">
        <v>12</v>
      </c>
      <c r="B64" s="16" t="s">
        <v>1948</v>
      </c>
      <c r="C64" s="16" t="s">
        <v>1352</v>
      </c>
      <c r="D64" s="20" t="s">
        <v>1496</v>
      </c>
      <c r="E64" s="21">
        <f>(ROW()-ROW(E$53)+1)*首页!$B$33</f>
        <v>28080</v>
      </c>
      <c r="F64" s="20" t="s">
        <v>1520</v>
      </c>
      <c r="G64" s="21">
        <f>ROUNDUP(E64/首页!$E$33,0)</f>
        <v>141</v>
      </c>
      <c r="H64" s="20" t="s">
        <v>1401</v>
      </c>
      <c r="I64" s="59">
        <f>(ROW()-ROW(I$53)+1)*首页!$F$33</f>
        <v>2808</v>
      </c>
      <c r="J64" s="20" t="s">
        <v>2279</v>
      </c>
      <c r="K64" s="59">
        <f>ROUND((ROW()-ROW($J$53)+1)*首页!$G$33*首页!$H$33,0)</f>
        <v>1548</v>
      </c>
      <c r="L64" s="20" t="s">
        <v>2602</v>
      </c>
      <c r="M64" s="21">
        <f>ROUND((ROW()-ROW(M$53)+1)*首页!$G$33*首页!$I$33,0)</f>
        <v>1548</v>
      </c>
    </row>
    <row r="65" spans="1:13" outlineLevel="1" x14ac:dyDescent="0.3">
      <c r="A65" s="56">
        <v>13</v>
      </c>
      <c r="B65" s="16" t="s">
        <v>1948</v>
      </c>
      <c r="C65" s="16" t="s">
        <v>1353</v>
      </c>
      <c r="D65" s="20" t="s">
        <v>1497</v>
      </c>
      <c r="E65" s="21">
        <f>(ROW()-ROW(E$53)+1)*首页!$B$33</f>
        <v>30420</v>
      </c>
      <c r="F65" s="20" t="s">
        <v>1521</v>
      </c>
      <c r="G65" s="21">
        <f>ROUNDUP(E65/首页!$E$33,0)</f>
        <v>153</v>
      </c>
      <c r="H65" s="20" t="s">
        <v>1402</v>
      </c>
      <c r="I65" s="59">
        <f>(ROW()-ROW(I$53)+1)*首页!$F$33</f>
        <v>3042</v>
      </c>
      <c r="J65" s="20" t="s">
        <v>2280</v>
      </c>
      <c r="K65" s="59">
        <f>ROUND((ROW()-ROW($J$53)+1)*首页!$G$33*首页!$H$33,0)</f>
        <v>1677</v>
      </c>
      <c r="L65" s="20" t="s">
        <v>2603</v>
      </c>
      <c r="M65" s="21">
        <f>ROUND((ROW()-ROW(M$53)+1)*首页!$G$33*首页!$I$33,0)</f>
        <v>1677</v>
      </c>
    </row>
    <row r="66" spans="1:13" outlineLevel="1" x14ac:dyDescent="0.3">
      <c r="A66" s="56">
        <v>14</v>
      </c>
      <c r="B66" s="16" t="s">
        <v>1948</v>
      </c>
      <c r="C66" s="16" t="s">
        <v>1354</v>
      </c>
      <c r="D66" s="20" t="s">
        <v>1498</v>
      </c>
      <c r="E66" s="21">
        <f>(ROW()-ROW(E$53)+1)*首页!$B$33</f>
        <v>32760</v>
      </c>
      <c r="F66" s="20" t="s">
        <v>1522</v>
      </c>
      <c r="G66" s="21">
        <f>ROUNDUP(E66/首页!$E$33,0)</f>
        <v>164</v>
      </c>
      <c r="H66" s="20" t="s">
        <v>1403</v>
      </c>
      <c r="I66" s="59">
        <f>(ROW()-ROW(I$53)+1)*首页!$F$33</f>
        <v>3276</v>
      </c>
      <c r="J66" s="20" t="s">
        <v>2281</v>
      </c>
      <c r="K66" s="59">
        <f>ROUND((ROW()-ROW($J$53)+1)*首页!$G$33*首页!$H$33,0)</f>
        <v>1806</v>
      </c>
      <c r="L66" s="20" t="s">
        <v>2604</v>
      </c>
      <c r="M66" s="21">
        <f>ROUND((ROW()-ROW(M$53)+1)*首页!$G$33*首页!$I$33,0)</f>
        <v>1806</v>
      </c>
    </row>
    <row r="67" spans="1:13" outlineLevel="1" x14ac:dyDescent="0.3">
      <c r="A67" s="56">
        <v>15</v>
      </c>
      <c r="B67" s="16" t="s">
        <v>1948</v>
      </c>
      <c r="C67" s="16" t="s">
        <v>1355</v>
      </c>
      <c r="D67" s="20" t="s">
        <v>1499</v>
      </c>
      <c r="E67" s="21">
        <f>(ROW()-ROW(E$53)+1)*首页!$B$33</f>
        <v>35100</v>
      </c>
      <c r="F67" s="20" t="s">
        <v>1523</v>
      </c>
      <c r="G67" s="21">
        <f>ROUNDUP(E67/首页!$E$33,0)</f>
        <v>176</v>
      </c>
      <c r="H67" s="20" t="s">
        <v>1404</v>
      </c>
      <c r="I67" s="59">
        <f>(ROW()-ROW(I$53)+1)*首页!$F$33</f>
        <v>3510</v>
      </c>
      <c r="J67" s="20" t="s">
        <v>2282</v>
      </c>
      <c r="K67" s="59">
        <f>ROUND((ROW()-ROW($J$53)+1)*首页!$G$33*首页!$H$33,0)</f>
        <v>1935</v>
      </c>
      <c r="L67" s="20" t="s">
        <v>2605</v>
      </c>
      <c r="M67" s="21">
        <f>ROUND((ROW()-ROW(M$53)+1)*首页!$G$33*首页!$I$33,0)</f>
        <v>1935</v>
      </c>
    </row>
    <row r="68" spans="1:13" outlineLevel="1" x14ac:dyDescent="0.3">
      <c r="A68" s="56">
        <v>16</v>
      </c>
      <c r="B68" s="16" t="s">
        <v>1948</v>
      </c>
      <c r="C68" s="16" t="s">
        <v>1356</v>
      </c>
      <c r="D68" s="20" t="s">
        <v>1500</v>
      </c>
      <c r="E68" s="21">
        <f>(ROW()-ROW(E$53)+1)*首页!$B$33</f>
        <v>37440</v>
      </c>
      <c r="F68" s="20" t="s">
        <v>1524</v>
      </c>
      <c r="G68" s="21">
        <f>ROUNDUP(E68/首页!$E$33,0)</f>
        <v>188</v>
      </c>
      <c r="H68" s="20" t="s">
        <v>1405</v>
      </c>
      <c r="I68" s="59">
        <f>(ROW()-ROW(I$53)+1)*首页!$F$33</f>
        <v>3744</v>
      </c>
      <c r="J68" s="20" t="s">
        <v>2283</v>
      </c>
      <c r="K68" s="59">
        <f>ROUND((ROW()-ROW($J$53)+1)*首页!$G$33*首页!$H$33,0)</f>
        <v>2064</v>
      </c>
      <c r="L68" s="20" t="s">
        <v>2606</v>
      </c>
      <c r="M68" s="21">
        <f>ROUND((ROW()-ROW(M$53)+1)*首页!$G$33*首页!$I$33,0)</f>
        <v>2064</v>
      </c>
    </row>
    <row r="69" spans="1:13" outlineLevel="1" x14ac:dyDescent="0.3">
      <c r="A69" s="56">
        <v>17</v>
      </c>
      <c r="B69" s="16" t="s">
        <v>1948</v>
      </c>
      <c r="C69" s="16" t="s">
        <v>1357</v>
      </c>
      <c r="D69" s="20" t="s">
        <v>1501</v>
      </c>
      <c r="E69" s="21">
        <f>(ROW()-ROW(E$53)+1)*首页!$B$33</f>
        <v>39780</v>
      </c>
      <c r="F69" s="20" t="s">
        <v>1525</v>
      </c>
      <c r="G69" s="21">
        <f>ROUNDUP(E69/首页!$E$33,0)</f>
        <v>199</v>
      </c>
      <c r="H69" s="20" t="s">
        <v>1406</v>
      </c>
      <c r="I69" s="59">
        <f>(ROW()-ROW(I$53)+1)*首页!$F$33</f>
        <v>3978</v>
      </c>
      <c r="J69" s="20" t="s">
        <v>2284</v>
      </c>
      <c r="K69" s="59">
        <f>ROUND((ROW()-ROW($J$53)+1)*首页!$G$33*首页!$H$33,0)</f>
        <v>2193</v>
      </c>
      <c r="L69" s="20" t="s">
        <v>2607</v>
      </c>
      <c r="M69" s="21">
        <f>ROUND((ROW()-ROW(M$53)+1)*首页!$G$33*首页!$I$33,0)</f>
        <v>2193</v>
      </c>
    </row>
    <row r="70" spans="1:13" outlineLevel="1" x14ac:dyDescent="0.3">
      <c r="A70" s="56">
        <v>18</v>
      </c>
      <c r="B70" s="16" t="s">
        <v>1948</v>
      </c>
      <c r="C70" s="16" t="s">
        <v>1358</v>
      </c>
      <c r="D70" s="20" t="s">
        <v>1502</v>
      </c>
      <c r="E70" s="21">
        <f>(ROW()-ROW(E$53)+1)*首页!$B$33</f>
        <v>42120</v>
      </c>
      <c r="F70" s="20" t="s">
        <v>1526</v>
      </c>
      <c r="G70" s="21">
        <f>ROUNDUP(E70/首页!$E$33,0)</f>
        <v>211</v>
      </c>
      <c r="H70" s="20" t="s">
        <v>1407</v>
      </c>
      <c r="I70" s="59">
        <f>(ROW()-ROW(I$53)+1)*首页!$F$33</f>
        <v>4212</v>
      </c>
      <c r="J70" s="20" t="s">
        <v>2285</v>
      </c>
      <c r="K70" s="59">
        <f>ROUND((ROW()-ROW($J$53)+1)*首页!$G$33*首页!$H$33,0)</f>
        <v>2322</v>
      </c>
      <c r="L70" s="20" t="s">
        <v>2608</v>
      </c>
      <c r="M70" s="21">
        <f>ROUND((ROW()-ROW(M$53)+1)*首页!$G$33*首页!$I$33,0)</f>
        <v>2322</v>
      </c>
    </row>
    <row r="71" spans="1:13" outlineLevel="1" x14ac:dyDescent="0.3">
      <c r="A71" s="56">
        <v>19</v>
      </c>
      <c r="B71" s="16" t="s">
        <v>1948</v>
      </c>
      <c r="C71" s="16" t="s">
        <v>1359</v>
      </c>
      <c r="D71" s="20" t="s">
        <v>1503</v>
      </c>
      <c r="E71" s="21">
        <f>(ROW()-ROW(E$53)+1)*首页!$B$33</f>
        <v>44460</v>
      </c>
      <c r="F71" s="20" t="s">
        <v>1527</v>
      </c>
      <c r="G71" s="21">
        <f>ROUNDUP(E71/首页!$E$33,0)</f>
        <v>223</v>
      </c>
      <c r="H71" s="20" t="s">
        <v>1408</v>
      </c>
      <c r="I71" s="59">
        <f>(ROW()-ROW(I$53)+1)*首页!$F$33</f>
        <v>4446</v>
      </c>
      <c r="J71" s="20" t="s">
        <v>2286</v>
      </c>
      <c r="K71" s="59">
        <f>ROUND((ROW()-ROW($J$53)+1)*首页!$G$33*首页!$H$33,0)</f>
        <v>2451</v>
      </c>
      <c r="L71" s="20" t="s">
        <v>2609</v>
      </c>
      <c r="M71" s="21">
        <f>ROUND((ROW()-ROW(M$53)+1)*首页!$G$33*首页!$I$33,0)</f>
        <v>2451</v>
      </c>
    </row>
    <row r="72" spans="1:13" outlineLevel="1" x14ac:dyDescent="0.3">
      <c r="A72" s="56">
        <v>20</v>
      </c>
      <c r="B72" s="16" t="s">
        <v>1948</v>
      </c>
      <c r="C72" s="16" t="s">
        <v>1360</v>
      </c>
      <c r="D72" s="20" t="s">
        <v>1504</v>
      </c>
      <c r="E72" s="21">
        <f>(ROW()-ROW(E$53)+1)*首页!$B$33</f>
        <v>46800</v>
      </c>
      <c r="F72" s="20" t="s">
        <v>1528</v>
      </c>
      <c r="G72" s="21">
        <f>ROUNDUP(E72/首页!$E$33,0)</f>
        <v>234</v>
      </c>
      <c r="H72" s="20" t="s">
        <v>1409</v>
      </c>
      <c r="I72" s="59">
        <f>(ROW()-ROW(I$53)+1)*首页!$F$33</f>
        <v>4680</v>
      </c>
      <c r="J72" s="20" t="s">
        <v>2287</v>
      </c>
      <c r="K72" s="59">
        <f>ROUND((ROW()-ROW($J$53)+1)*首页!$G$33*首页!$H$33,0)</f>
        <v>2580</v>
      </c>
      <c r="L72" s="20" t="s">
        <v>2610</v>
      </c>
      <c r="M72" s="21">
        <f>ROUND((ROW()-ROW(M$53)+1)*首页!$G$33*首页!$I$33,0)</f>
        <v>2580</v>
      </c>
    </row>
    <row r="73" spans="1:13" outlineLevel="1" x14ac:dyDescent="0.3">
      <c r="A73" s="56">
        <v>21</v>
      </c>
      <c r="B73" s="16" t="s">
        <v>1948</v>
      </c>
      <c r="C73" s="16" t="s">
        <v>1361</v>
      </c>
      <c r="D73" s="20" t="s">
        <v>1505</v>
      </c>
      <c r="E73" s="21">
        <f>(ROW()-ROW(E$53)+1)*首页!$B$33</f>
        <v>49140</v>
      </c>
      <c r="F73" s="20" t="s">
        <v>1529</v>
      </c>
      <c r="G73" s="21">
        <f>ROUNDUP(E73/首页!$E$33,0)</f>
        <v>246</v>
      </c>
      <c r="H73" s="20" t="s">
        <v>1410</v>
      </c>
      <c r="I73" s="59">
        <f>(ROW()-ROW(I$53)+1)*首页!$F$33</f>
        <v>4914</v>
      </c>
      <c r="J73" s="20" t="s">
        <v>2288</v>
      </c>
      <c r="K73" s="59">
        <f>ROUND((ROW()-ROW($J$53)+1)*首页!$G$33*首页!$H$33,0)</f>
        <v>2709</v>
      </c>
      <c r="L73" s="20" t="s">
        <v>2611</v>
      </c>
      <c r="M73" s="21">
        <f>ROUND((ROW()-ROW(M$53)+1)*首页!$G$33*首页!$I$33,0)</f>
        <v>2709</v>
      </c>
    </row>
    <row r="74" spans="1:13" outlineLevel="1" x14ac:dyDescent="0.3">
      <c r="A74" s="56">
        <v>22</v>
      </c>
      <c r="B74" s="16" t="s">
        <v>1948</v>
      </c>
      <c r="C74" s="16" t="s">
        <v>1362</v>
      </c>
      <c r="D74" s="20" t="s">
        <v>1506</v>
      </c>
      <c r="E74" s="21">
        <f>(ROW()-ROW(E$53)+1)*首页!$B$33</f>
        <v>51480</v>
      </c>
      <c r="F74" s="20" t="s">
        <v>1530</v>
      </c>
      <c r="G74" s="21">
        <f>ROUNDUP(E74/首页!$E$33,0)</f>
        <v>258</v>
      </c>
      <c r="H74" s="20" t="s">
        <v>1411</v>
      </c>
      <c r="I74" s="59">
        <f>(ROW()-ROW(I$53)+1)*首页!$F$33</f>
        <v>5148</v>
      </c>
      <c r="J74" s="20" t="s">
        <v>2289</v>
      </c>
      <c r="K74" s="59">
        <f>ROUND((ROW()-ROW($J$53)+1)*首页!$G$33*首页!$H$33,0)</f>
        <v>2838</v>
      </c>
      <c r="L74" s="20" t="s">
        <v>2612</v>
      </c>
      <c r="M74" s="21">
        <f>ROUND((ROW()-ROW(M$53)+1)*首页!$G$33*首页!$I$33,0)</f>
        <v>2838</v>
      </c>
    </row>
    <row r="75" spans="1:13" outlineLevel="1" x14ac:dyDescent="0.3">
      <c r="A75" s="56">
        <v>23</v>
      </c>
      <c r="B75" s="16" t="s">
        <v>1948</v>
      </c>
      <c r="C75" s="16" t="s">
        <v>1363</v>
      </c>
      <c r="D75" s="20" t="s">
        <v>1507</v>
      </c>
      <c r="E75" s="21">
        <f>(ROW()-ROW(E$53)+1)*首页!$B$33</f>
        <v>53820</v>
      </c>
      <c r="F75" s="20" t="s">
        <v>1531</v>
      </c>
      <c r="G75" s="21">
        <f>ROUNDUP(E75/首页!$E$33,0)</f>
        <v>270</v>
      </c>
      <c r="H75" s="20" t="s">
        <v>1412</v>
      </c>
      <c r="I75" s="59">
        <f>(ROW()-ROW(I$53)+1)*首页!$F$33</f>
        <v>5382</v>
      </c>
      <c r="J75" s="20" t="s">
        <v>2290</v>
      </c>
      <c r="K75" s="59">
        <f>ROUND((ROW()-ROW($J$53)+1)*首页!$G$33*首页!$H$33,0)</f>
        <v>2967</v>
      </c>
      <c r="L75" s="20" t="s">
        <v>2613</v>
      </c>
      <c r="M75" s="21">
        <f>ROUND((ROW()-ROW(M$53)+1)*首页!$G$33*首页!$I$33,0)</f>
        <v>2967</v>
      </c>
    </row>
    <row r="76" spans="1:13" outlineLevel="1" x14ac:dyDescent="0.3">
      <c r="A76" s="56">
        <v>24</v>
      </c>
      <c r="B76" s="16" t="s">
        <v>1948</v>
      </c>
      <c r="C76" s="16" t="s">
        <v>1364</v>
      </c>
      <c r="D76" s="20" t="s">
        <v>1508</v>
      </c>
      <c r="E76" s="21">
        <f>(ROW()-ROW(E$53)+1)*首页!$B$33</f>
        <v>56160</v>
      </c>
      <c r="F76" s="20" t="s">
        <v>1532</v>
      </c>
      <c r="G76" s="21">
        <f>ROUNDUP(E76/首页!$E$33,0)</f>
        <v>281</v>
      </c>
      <c r="H76" s="20" t="s">
        <v>1413</v>
      </c>
      <c r="I76" s="59">
        <f>(ROW()-ROW(I$53)+1)*首页!$F$33</f>
        <v>5616</v>
      </c>
      <c r="J76" s="20" t="s">
        <v>2291</v>
      </c>
      <c r="K76" s="59">
        <f>ROUND((ROW()-ROW($J$53)+1)*首页!$G$33*首页!$H$33,0)</f>
        <v>3096</v>
      </c>
      <c r="L76" s="20" t="s">
        <v>2614</v>
      </c>
      <c r="M76" s="21">
        <f>ROUND((ROW()-ROW(M$53)+1)*首页!$G$33*首页!$I$33,0)</f>
        <v>3096</v>
      </c>
    </row>
    <row r="77" spans="1:13" outlineLevel="1" x14ac:dyDescent="0.3">
      <c r="A77" s="56">
        <v>25</v>
      </c>
      <c r="B77" s="27" t="s">
        <v>1948</v>
      </c>
      <c r="C77" s="27" t="s">
        <v>1365</v>
      </c>
      <c r="D77" s="28" t="s">
        <v>1509</v>
      </c>
      <c r="E77" s="29">
        <f>(ROW()-ROW(E$53)+1)*首页!$B$33</f>
        <v>58500</v>
      </c>
      <c r="F77" s="28" t="s">
        <v>1533</v>
      </c>
      <c r="G77" s="29">
        <f>ROUNDUP(E77/首页!$E$33,0)</f>
        <v>293</v>
      </c>
      <c r="H77" s="28" t="s">
        <v>1414</v>
      </c>
      <c r="I77" s="60">
        <f>(ROW()-ROW(I$53)+1)*首页!$F$33</f>
        <v>5850</v>
      </c>
      <c r="J77" s="28" t="s">
        <v>2292</v>
      </c>
      <c r="K77" s="60">
        <f>ROUND((ROW()-ROW($J$53)+1)*首页!$G$33*首页!$H$33,0)</f>
        <v>3225</v>
      </c>
      <c r="L77" s="28" t="s">
        <v>2615</v>
      </c>
      <c r="M77" s="29">
        <f>ROUND((ROW()-ROW(M$53)+1)*首页!$G$33*首页!$I$33,0)</f>
        <v>3225</v>
      </c>
    </row>
  </sheetData>
  <sheetProtection sheet="1" objects="1" scenarios="1"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FF1D-FEF9-4393-87F3-ADEF0C7847FA}">
  <dimension ref="A1:F25"/>
  <sheetViews>
    <sheetView topLeftCell="A12" zoomScale="115" zoomScaleNormal="115" workbookViewId="0">
      <selection activeCell="C27" sqref="C27"/>
    </sheetView>
  </sheetViews>
  <sheetFormatPr defaultRowHeight="14" x14ac:dyDescent="0.3"/>
  <cols>
    <col min="1" max="1" width="25.1640625" customWidth="1"/>
    <col min="2" max="2" width="9.75" customWidth="1"/>
    <col min="3" max="3" width="26.6640625" customWidth="1"/>
    <col min="4" max="4" width="9.1640625" bestFit="1" customWidth="1"/>
    <col min="5" max="5" width="26.6640625" customWidth="1"/>
    <col min="6" max="6" width="9.1640625" bestFit="1" customWidth="1"/>
  </cols>
  <sheetData>
    <row r="1" spans="1:6" x14ac:dyDescent="0.3">
      <c r="A1" s="171" t="s">
        <v>0</v>
      </c>
      <c r="B1" s="172" t="s">
        <v>152</v>
      </c>
      <c r="C1" s="171" t="s">
        <v>0</v>
      </c>
      <c r="D1" s="172" t="s">
        <v>152</v>
      </c>
      <c r="E1" s="171" t="s">
        <v>0</v>
      </c>
      <c r="F1" s="172" t="s">
        <v>152</v>
      </c>
    </row>
    <row r="2" spans="1:6" x14ac:dyDescent="0.3">
      <c r="A2" s="173" t="s">
        <v>155</v>
      </c>
      <c r="B2" s="174">
        <f>首页!$K$7</f>
        <v>50000000</v>
      </c>
      <c r="C2" s="175" t="s">
        <v>179</v>
      </c>
      <c r="D2" s="176">
        <f>首页!$K$7</f>
        <v>50000000</v>
      </c>
      <c r="E2" s="175" t="s">
        <v>642</v>
      </c>
      <c r="F2" s="176">
        <f>首页!$K$7</f>
        <v>50000000</v>
      </c>
    </row>
    <row r="3" spans="1:6" x14ac:dyDescent="0.3">
      <c r="A3" s="173" t="s">
        <v>156</v>
      </c>
      <c r="B3" s="174">
        <f>首页!$K$7</f>
        <v>50000000</v>
      </c>
      <c r="C3" s="173" t="s">
        <v>180</v>
      </c>
      <c r="D3" s="174">
        <f>首页!$K$7</f>
        <v>50000000</v>
      </c>
      <c r="E3" s="173" t="s">
        <v>643</v>
      </c>
      <c r="F3" s="174">
        <f>首页!$K$7</f>
        <v>50000000</v>
      </c>
    </row>
    <row r="4" spans="1:6" x14ac:dyDescent="0.3">
      <c r="A4" s="173" t="s">
        <v>157</v>
      </c>
      <c r="B4" s="174">
        <f>首页!$K$7</f>
        <v>50000000</v>
      </c>
      <c r="C4" s="173" t="s">
        <v>181</v>
      </c>
      <c r="D4" s="174">
        <f>首页!$K$7</f>
        <v>50000000</v>
      </c>
      <c r="E4" s="173" t="s">
        <v>644</v>
      </c>
      <c r="F4" s="174">
        <f>首页!$K$7</f>
        <v>50000000</v>
      </c>
    </row>
    <row r="5" spans="1:6" x14ac:dyDescent="0.3">
      <c r="A5" s="173" t="s">
        <v>158</v>
      </c>
      <c r="B5" s="174">
        <f>首页!$K$7</f>
        <v>50000000</v>
      </c>
      <c r="C5" s="173" t="s">
        <v>182</v>
      </c>
      <c r="D5" s="174">
        <f>首页!$K$7</f>
        <v>50000000</v>
      </c>
      <c r="E5" s="173" t="s">
        <v>645</v>
      </c>
      <c r="F5" s="174">
        <f>首页!$K$7</f>
        <v>50000000</v>
      </c>
    </row>
    <row r="6" spans="1:6" x14ac:dyDescent="0.3">
      <c r="A6" s="173" t="s">
        <v>159</v>
      </c>
      <c r="B6" s="174">
        <f>首页!$K$7</f>
        <v>50000000</v>
      </c>
      <c r="C6" s="173" t="s">
        <v>183</v>
      </c>
      <c r="D6" s="174">
        <f>首页!$K$7</f>
        <v>50000000</v>
      </c>
      <c r="E6" s="173" t="s">
        <v>646</v>
      </c>
      <c r="F6" s="174">
        <f>首页!$K$7</f>
        <v>50000000</v>
      </c>
    </row>
    <row r="7" spans="1:6" x14ac:dyDescent="0.3">
      <c r="A7" s="173" t="s">
        <v>160</v>
      </c>
      <c r="B7" s="174">
        <f>首页!$K$7</f>
        <v>50000000</v>
      </c>
      <c r="C7" s="173" t="s">
        <v>184</v>
      </c>
      <c r="D7" s="174">
        <f>首页!$K$7</f>
        <v>50000000</v>
      </c>
      <c r="E7" s="173" t="s">
        <v>647</v>
      </c>
      <c r="F7" s="174">
        <f>首页!$K$7</f>
        <v>50000000</v>
      </c>
    </row>
    <row r="8" spans="1:6" x14ac:dyDescent="0.3">
      <c r="A8" s="173" t="s">
        <v>161</v>
      </c>
      <c r="B8" s="174">
        <f>首页!$K$7</f>
        <v>50000000</v>
      </c>
      <c r="C8" s="173" t="s">
        <v>185</v>
      </c>
      <c r="D8" s="174">
        <f>首页!$K$7</f>
        <v>50000000</v>
      </c>
      <c r="E8" s="173" t="s">
        <v>648</v>
      </c>
      <c r="F8" s="174">
        <f>首页!$K$7</f>
        <v>50000000</v>
      </c>
    </row>
    <row r="9" spans="1:6" x14ac:dyDescent="0.3">
      <c r="A9" s="173" t="s">
        <v>162</v>
      </c>
      <c r="B9" s="174">
        <f>首页!$K$7</f>
        <v>50000000</v>
      </c>
      <c r="C9" s="173" t="s">
        <v>186</v>
      </c>
      <c r="D9" s="174">
        <f>首页!$K$7</f>
        <v>50000000</v>
      </c>
      <c r="E9" s="173" t="s">
        <v>649</v>
      </c>
      <c r="F9" s="174">
        <f>首页!$K$7</f>
        <v>50000000</v>
      </c>
    </row>
    <row r="10" spans="1:6" x14ac:dyDescent="0.3">
      <c r="A10" s="173" t="s">
        <v>163</v>
      </c>
      <c r="B10" s="174">
        <f>首页!$K$7</f>
        <v>50000000</v>
      </c>
      <c r="C10" s="173" t="s">
        <v>187</v>
      </c>
      <c r="D10" s="174">
        <f>首页!$K$7</f>
        <v>50000000</v>
      </c>
      <c r="E10" s="173" t="s">
        <v>650</v>
      </c>
      <c r="F10" s="174">
        <f>首页!$K$7</f>
        <v>50000000</v>
      </c>
    </row>
    <row r="11" spans="1:6" x14ac:dyDescent="0.3">
      <c r="A11" s="173" t="s">
        <v>164</v>
      </c>
      <c r="B11" s="174">
        <f>首页!$K$7</f>
        <v>50000000</v>
      </c>
      <c r="C11" s="173" t="s">
        <v>188</v>
      </c>
      <c r="D11" s="174">
        <f>首页!$K$7</f>
        <v>50000000</v>
      </c>
      <c r="E11" s="173" t="s">
        <v>651</v>
      </c>
      <c r="F11" s="174">
        <f>首页!$K$7</f>
        <v>50000000</v>
      </c>
    </row>
    <row r="12" spans="1:6" x14ac:dyDescent="0.3">
      <c r="A12" s="173" t="s">
        <v>165</v>
      </c>
      <c r="B12" s="174">
        <f>首页!$K$7</f>
        <v>50000000</v>
      </c>
      <c r="C12" s="173" t="s">
        <v>189</v>
      </c>
      <c r="D12" s="174">
        <f>首页!$K$7</f>
        <v>50000000</v>
      </c>
      <c r="E12" s="173" t="s">
        <v>652</v>
      </c>
      <c r="F12" s="174">
        <f>首页!$K$7</f>
        <v>50000000</v>
      </c>
    </row>
    <row r="13" spans="1:6" x14ac:dyDescent="0.3">
      <c r="A13" s="173" t="s">
        <v>166</v>
      </c>
      <c r="B13" s="174">
        <f>首页!$K$7</f>
        <v>50000000</v>
      </c>
      <c r="C13" s="173" t="s">
        <v>190</v>
      </c>
      <c r="D13" s="174">
        <f>首页!$K$7</f>
        <v>50000000</v>
      </c>
      <c r="E13" s="173" t="s">
        <v>653</v>
      </c>
      <c r="F13" s="174">
        <f>首页!$K$7</f>
        <v>50000000</v>
      </c>
    </row>
    <row r="14" spans="1:6" x14ac:dyDescent="0.3">
      <c r="A14" s="173" t="s">
        <v>167</v>
      </c>
      <c r="B14" s="174">
        <f>首页!$K$7</f>
        <v>50000000</v>
      </c>
      <c r="C14" s="173" t="s">
        <v>191</v>
      </c>
      <c r="D14" s="174">
        <f>首页!$K$7</f>
        <v>50000000</v>
      </c>
      <c r="E14" s="173" t="s">
        <v>654</v>
      </c>
      <c r="F14" s="174">
        <f>首页!$K$7</f>
        <v>50000000</v>
      </c>
    </row>
    <row r="15" spans="1:6" x14ac:dyDescent="0.3">
      <c r="A15" s="173" t="s">
        <v>168</v>
      </c>
      <c r="B15" s="174">
        <f>首页!$K$7</f>
        <v>50000000</v>
      </c>
      <c r="C15" s="173" t="s">
        <v>192</v>
      </c>
      <c r="D15" s="174">
        <f>首页!$K$7</f>
        <v>50000000</v>
      </c>
      <c r="E15" s="173" t="s">
        <v>655</v>
      </c>
      <c r="F15" s="174">
        <f>首页!$K$7</f>
        <v>50000000</v>
      </c>
    </row>
    <row r="16" spans="1:6" x14ac:dyDescent="0.3">
      <c r="A16" s="173" t="s">
        <v>169</v>
      </c>
      <c r="B16" s="174">
        <f>首页!$K$7</f>
        <v>50000000</v>
      </c>
      <c r="C16" s="173" t="s">
        <v>193</v>
      </c>
      <c r="D16" s="174">
        <f>首页!$K$7</f>
        <v>50000000</v>
      </c>
      <c r="E16" s="173" t="s">
        <v>656</v>
      </c>
      <c r="F16" s="174">
        <f>首页!$K$7</f>
        <v>50000000</v>
      </c>
    </row>
    <row r="17" spans="1:6" x14ac:dyDescent="0.3">
      <c r="A17" s="173" t="s">
        <v>170</v>
      </c>
      <c r="B17" s="174">
        <f>首页!$K$7</f>
        <v>50000000</v>
      </c>
      <c r="C17" s="173" t="s">
        <v>194</v>
      </c>
      <c r="D17" s="174">
        <f>首页!$K$7</f>
        <v>50000000</v>
      </c>
      <c r="E17" s="173" t="s">
        <v>657</v>
      </c>
      <c r="F17" s="174">
        <f>首页!$K$7</f>
        <v>50000000</v>
      </c>
    </row>
    <row r="18" spans="1:6" x14ac:dyDescent="0.3">
      <c r="A18" s="173" t="s">
        <v>171</v>
      </c>
      <c r="B18" s="174">
        <f>首页!$K$7</f>
        <v>50000000</v>
      </c>
      <c r="C18" s="173" t="s">
        <v>195</v>
      </c>
      <c r="D18" s="174">
        <f>首页!$K$7</f>
        <v>50000000</v>
      </c>
      <c r="E18" s="173" t="s">
        <v>658</v>
      </c>
      <c r="F18" s="174">
        <f>首页!$K$7</f>
        <v>50000000</v>
      </c>
    </row>
    <row r="19" spans="1:6" x14ac:dyDescent="0.3">
      <c r="A19" s="173" t="s">
        <v>172</v>
      </c>
      <c r="B19" s="174">
        <f>首页!$K$7</f>
        <v>50000000</v>
      </c>
      <c r="C19" s="173" t="s">
        <v>196</v>
      </c>
      <c r="D19" s="174">
        <f>首页!$K$7</f>
        <v>50000000</v>
      </c>
      <c r="E19" s="173" t="s">
        <v>659</v>
      </c>
      <c r="F19" s="174">
        <f>首页!$K$7</f>
        <v>50000000</v>
      </c>
    </row>
    <row r="20" spans="1:6" x14ac:dyDescent="0.3">
      <c r="A20" s="173" t="s">
        <v>173</v>
      </c>
      <c r="B20" s="174">
        <f>首页!$K$7</f>
        <v>50000000</v>
      </c>
      <c r="C20" s="173" t="s">
        <v>197</v>
      </c>
      <c r="D20" s="174">
        <f>首页!$K$7</f>
        <v>50000000</v>
      </c>
      <c r="E20" s="173" t="s">
        <v>660</v>
      </c>
      <c r="F20" s="174">
        <f>首页!$K$7</f>
        <v>50000000</v>
      </c>
    </row>
    <row r="21" spans="1:6" x14ac:dyDescent="0.3">
      <c r="A21" s="173" t="s">
        <v>174</v>
      </c>
      <c r="B21" s="174">
        <f>首页!$K$7</f>
        <v>50000000</v>
      </c>
      <c r="C21" s="173" t="s">
        <v>198</v>
      </c>
      <c r="D21" s="174">
        <f>首页!$K$7</f>
        <v>50000000</v>
      </c>
      <c r="E21" s="173" t="s">
        <v>661</v>
      </c>
      <c r="F21" s="174">
        <f>首页!$K$7</f>
        <v>50000000</v>
      </c>
    </row>
    <row r="22" spans="1:6" x14ac:dyDescent="0.3">
      <c r="A22" s="173" t="s">
        <v>175</v>
      </c>
      <c r="B22" s="174">
        <f>首页!$K$7</f>
        <v>50000000</v>
      </c>
      <c r="C22" s="173" t="s">
        <v>199</v>
      </c>
      <c r="D22" s="174">
        <f>首页!$K$7</f>
        <v>50000000</v>
      </c>
      <c r="E22" s="173" t="s">
        <v>662</v>
      </c>
      <c r="F22" s="174">
        <f>首页!$K$7</f>
        <v>50000000</v>
      </c>
    </row>
    <row r="23" spans="1:6" x14ac:dyDescent="0.3">
      <c r="A23" s="173" t="s">
        <v>176</v>
      </c>
      <c r="B23" s="174">
        <f>首页!$K$7</f>
        <v>50000000</v>
      </c>
      <c r="C23" s="173" t="s">
        <v>200</v>
      </c>
      <c r="D23" s="174">
        <f>首页!$K$7</f>
        <v>50000000</v>
      </c>
      <c r="E23" s="173" t="s">
        <v>663</v>
      </c>
      <c r="F23" s="174">
        <f>首页!$K$7</f>
        <v>50000000</v>
      </c>
    </row>
    <row r="24" spans="1:6" x14ac:dyDescent="0.3">
      <c r="A24" s="173" t="s">
        <v>177</v>
      </c>
      <c r="B24" s="174">
        <f>首页!$K$7</f>
        <v>50000000</v>
      </c>
      <c r="C24" s="173" t="s">
        <v>201</v>
      </c>
      <c r="D24" s="174">
        <f>首页!$K$7</f>
        <v>50000000</v>
      </c>
      <c r="E24" s="173" t="s">
        <v>664</v>
      </c>
      <c r="F24" s="174">
        <f>首页!$K$7</f>
        <v>50000000</v>
      </c>
    </row>
    <row r="25" spans="1:6" x14ac:dyDescent="0.3">
      <c r="A25" s="177" t="s">
        <v>178</v>
      </c>
      <c r="B25" s="178">
        <f>首页!$K$7</f>
        <v>50000000</v>
      </c>
      <c r="C25" s="177" t="s">
        <v>202</v>
      </c>
      <c r="D25" s="178">
        <f>首页!$K$7</f>
        <v>50000000</v>
      </c>
      <c r="E25" s="177" t="s">
        <v>665</v>
      </c>
      <c r="F25" s="178">
        <f>首页!$K$7</f>
        <v>50000000</v>
      </c>
    </row>
  </sheetData>
  <sheetProtection sheet="1" objects="1" scenarios="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首页</vt:lpstr>
      <vt:lpstr>通用指标</vt:lpstr>
      <vt:lpstr>灵能盾</vt:lpstr>
      <vt:lpstr>泽珞护盾肌体</vt:lpstr>
      <vt:lpstr>古代脉冲甲</vt:lpstr>
      <vt:lpstr>脉冲甲壳</vt:lpstr>
      <vt:lpstr>龙鳞甲</vt:lpstr>
      <vt:lpstr>龙鳞甲壳</vt:lpstr>
      <vt:lpstr>科技消耗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海燕 王</dc:creator>
  <cp:lastModifiedBy>海燕 王</cp:lastModifiedBy>
  <dcterms:created xsi:type="dcterms:W3CDTF">2026-03-25T17:29:18Z</dcterms:created>
  <dcterms:modified xsi:type="dcterms:W3CDTF">2026-05-08T22:35:03Z</dcterms:modified>
</cp:coreProperties>
</file>